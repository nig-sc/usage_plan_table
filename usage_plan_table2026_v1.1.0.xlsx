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マイドライブ\2026スパコン課金\"/>
    </mc:Choice>
  </mc:AlternateContent>
  <xr:revisionPtr revIDLastSave="0" documentId="13_ncr:1_{4ADF6E1A-316E-4C04-BA45-C96CD9E283CD}" xr6:coauthVersionLast="47" xr6:coauthVersionMax="47" xr10:uidLastSave="{00000000-0000-0000-0000-000000000000}"/>
  <bookViews>
    <workbookView xWindow="21600" yWindow="2560" windowWidth="36000" windowHeight="17580" activeTab="1" xr2:uid="{00000000-000D-0000-FFFF-FFFF00000000}"/>
  </bookViews>
  <sheets>
    <sheet name="利用目的等" sheetId="1" r:id="rId1"/>
    <sheet name="料金試算表" sheetId="2" r:id="rId2"/>
    <sheet name="記入例(普通版)" sheetId="3" r:id="rId3"/>
    <sheet name="記入例(グループQuota版)" sheetId="4" r:id="rId4"/>
    <sheet name="Sheet1" sheetId="5" r:id="rId5"/>
    <sheet name="表紙・文書履歴" sheetId="6" r:id="rId6"/>
  </sheets>
  <definedNames>
    <definedName name="Acc1_">Sheet1!$B$29</definedName>
    <definedName name="Acc1単価">Sheet1!$B$22</definedName>
    <definedName name="Acc2_">Sheet1!$B$30</definedName>
    <definedName name="Acc2単価">Sheet1!$B$23</definedName>
    <definedName name="Acc3_">Sheet1!$B$31</definedName>
    <definedName name="Acc3単価">Sheet1!$B$24</definedName>
    <definedName name="CPU1_">Sheet1!$B$25</definedName>
    <definedName name="CPU1単価">Sheet1!$B$18</definedName>
    <definedName name="CPU2_">Sheet1!$B$26</definedName>
    <definedName name="CPU2単価">Sheet1!$B$19</definedName>
    <definedName name="Mem1_">Sheet1!$B$27</definedName>
    <definedName name="Mem1単価">Sheet1!$B$20</definedName>
    <definedName name="Mem2_">Sheet1!$B$28</definedName>
    <definedName name="Mem2単価">Sheet1!$B$21</definedName>
    <definedName name="サービス">Sheet1!$A$1:$A$5</definedName>
    <definedName name="ストレージ一般解析Quota設定のみ">Sheet1!$A$9</definedName>
    <definedName name="ストレージ一般解析Quota設定のみ単価">Sheet1!$B$15</definedName>
    <definedName name="ストレージ個人ゲノムQuota設定のみ">Sheet1!$A$10</definedName>
    <definedName name="ストレージ個人ゲノムQuota設定のみ基本料金">Sheet1!$B$17</definedName>
    <definedName name="ストレージ個人ゲノムQuota設定のみ単価">Sheet1!$B$16</definedName>
    <definedName name="ストレージ大規模利用_一般解析区画">Sheet1!$B$1</definedName>
    <definedName name="ストレージ大規模利用_個人ゲノム区画">Sheet1!$B$2</definedName>
    <definedName name="計算ノードGPU専用Slurm_個人ゲノム区画">Sheet1!$B$5</definedName>
    <definedName name="計算ノード占有利用_一般解析区画">Sheet1!$B$3:$D$3</definedName>
    <definedName name="計算ノード占有利用_個人ゲノム区画">Sheet1!$B$4:$G$4</definedName>
    <definedName name="計算ノード優先利用_一般解析区画">Sheet1!$B$6:$H$6</definedName>
    <definedName name="計算ノード優先利用_個人ゲノム区画">Sheet1!$B$7:$H$7</definedName>
    <definedName name="消費税">Sheet1!$B$14</definedName>
    <definedName name="年">料金試算表!$A$1</definedName>
    <definedName name="年間日数">Sheet1!$B$13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5nfxpNqixc/lkiiCxBYV1wm0SKk+WiONa7Fzuf4PLLs="/>
    </ext>
  </extLst>
</workbook>
</file>

<file path=xl/calcChain.xml><?xml version="1.0" encoding="utf-8"?>
<calcChain xmlns="http://schemas.openxmlformats.org/spreadsheetml/2006/main">
  <c r="O13" i="2" l="1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12" i="2"/>
  <c r="W29" i="4" l="1"/>
  <c r="V29" i="4"/>
  <c r="U29" i="4"/>
  <c r="W27" i="4"/>
  <c r="V27" i="4"/>
  <c r="U27" i="4"/>
  <c r="O26" i="4"/>
  <c r="X26" i="4" s="1"/>
  <c r="O25" i="4"/>
  <c r="X25" i="4" s="1"/>
  <c r="O24" i="4"/>
  <c r="X24" i="4" s="1"/>
  <c r="O23" i="4"/>
  <c r="O22" i="4"/>
  <c r="O21" i="4"/>
  <c r="O20" i="4"/>
  <c r="O19" i="4"/>
  <c r="O18" i="4"/>
  <c r="O17" i="4"/>
  <c r="O16" i="4"/>
  <c r="O15" i="4"/>
  <c r="O14" i="4"/>
  <c r="O13" i="4"/>
  <c r="O12" i="4"/>
  <c r="O26" i="3"/>
  <c r="O25" i="3"/>
  <c r="X25" i="3" s="1"/>
  <c r="O24" i="3"/>
  <c r="X24" i="3" s="1"/>
  <c r="O23" i="3"/>
  <c r="X23" i="3" s="1"/>
  <c r="O22" i="3"/>
  <c r="O21" i="3"/>
  <c r="O20" i="3"/>
  <c r="O19" i="3"/>
  <c r="O18" i="3"/>
  <c r="O17" i="3"/>
  <c r="O16" i="3"/>
  <c r="O15" i="3"/>
  <c r="O14" i="3"/>
  <c r="O13" i="3"/>
  <c r="O12" i="3"/>
  <c r="W29" i="3"/>
  <c r="V29" i="3"/>
  <c r="U29" i="3"/>
  <c r="W27" i="3"/>
  <c r="V27" i="3"/>
  <c r="U27" i="3"/>
  <c r="X29" i="4" l="1"/>
  <c r="X27" i="4"/>
  <c r="X27" i="3"/>
  <c r="X29" i="3"/>
  <c r="B13" i="5"/>
  <c r="T26" i="4"/>
  <c r="S26" i="4"/>
  <c r="R26" i="4"/>
  <c r="Q26" i="4"/>
  <c r="P26" i="4"/>
  <c r="T25" i="4"/>
  <c r="S25" i="4"/>
  <c r="R25" i="4"/>
  <c r="Q25" i="4"/>
  <c r="P25" i="4"/>
  <c r="T24" i="4"/>
  <c r="S24" i="4"/>
  <c r="R24" i="4"/>
  <c r="Q24" i="4"/>
  <c r="P24" i="4"/>
  <c r="T23" i="4"/>
  <c r="S23" i="4"/>
  <c r="R23" i="4"/>
  <c r="Q23" i="4"/>
  <c r="P23" i="4"/>
  <c r="X23" i="4"/>
  <c r="T22" i="4"/>
  <c r="S22" i="4"/>
  <c r="R22" i="4"/>
  <c r="Q22" i="4"/>
  <c r="P22" i="4"/>
  <c r="T21" i="4"/>
  <c r="S21" i="4"/>
  <c r="R21" i="4"/>
  <c r="Q21" i="4"/>
  <c r="P21" i="4"/>
  <c r="T20" i="4"/>
  <c r="S20" i="4"/>
  <c r="R20" i="4"/>
  <c r="Q20" i="4"/>
  <c r="P20" i="4"/>
  <c r="T19" i="4"/>
  <c r="S19" i="4"/>
  <c r="R19" i="4"/>
  <c r="Q19" i="4"/>
  <c r="P19" i="4"/>
  <c r="T18" i="4"/>
  <c r="S18" i="4"/>
  <c r="R18" i="4"/>
  <c r="Q18" i="4"/>
  <c r="P18" i="4"/>
  <c r="T17" i="4"/>
  <c r="S17" i="4"/>
  <c r="R17" i="4"/>
  <c r="Q17" i="4"/>
  <c r="P17" i="4"/>
  <c r="T16" i="4"/>
  <c r="S16" i="4"/>
  <c r="R16" i="4"/>
  <c r="Q16" i="4"/>
  <c r="P16" i="4"/>
  <c r="T15" i="4"/>
  <c r="S15" i="4"/>
  <c r="R15" i="4"/>
  <c r="Q15" i="4"/>
  <c r="P15" i="4"/>
  <c r="T14" i="4"/>
  <c r="S14" i="4"/>
  <c r="R14" i="4"/>
  <c r="Q14" i="4"/>
  <c r="P14" i="4"/>
  <c r="T13" i="4"/>
  <c r="S13" i="4"/>
  <c r="R13" i="4"/>
  <c r="Q13" i="4"/>
  <c r="P13" i="4"/>
  <c r="T12" i="4"/>
  <c r="S12" i="4"/>
  <c r="R12" i="4"/>
  <c r="Q12" i="4"/>
  <c r="P12" i="4"/>
  <c r="T26" i="3"/>
  <c r="S26" i="3"/>
  <c r="R26" i="3"/>
  <c r="Q26" i="3"/>
  <c r="P26" i="3"/>
  <c r="X26" i="3"/>
  <c r="T25" i="3"/>
  <c r="S25" i="3"/>
  <c r="R25" i="3"/>
  <c r="Q25" i="3"/>
  <c r="P25" i="3"/>
  <c r="T24" i="3"/>
  <c r="S24" i="3"/>
  <c r="R24" i="3"/>
  <c r="Q24" i="3"/>
  <c r="P24" i="3"/>
  <c r="T23" i="3"/>
  <c r="S23" i="3"/>
  <c r="R23" i="3"/>
  <c r="Q23" i="3"/>
  <c r="P23" i="3"/>
  <c r="T22" i="3"/>
  <c r="S22" i="3"/>
  <c r="R22" i="3"/>
  <c r="Q22" i="3"/>
  <c r="P22" i="3"/>
  <c r="T21" i="3"/>
  <c r="S21" i="3"/>
  <c r="R21" i="3"/>
  <c r="Q21" i="3"/>
  <c r="P21" i="3"/>
  <c r="T20" i="3"/>
  <c r="S20" i="3"/>
  <c r="R20" i="3"/>
  <c r="Q20" i="3"/>
  <c r="P20" i="3"/>
  <c r="T19" i="3"/>
  <c r="S19" i="3"/>
  <c r="R19" i="3"/>
  <c r="Q19" i="3"/>
  <c r="P19" i="3"/>
  <c r="T18" i="3"/>
  <c r="S18" i="3"/>
  <c r="R18" i="3"/>
  <c r="Q18" i="3"/>
  <c r="P18" i="3"/>
  <c r="T17" i="3"/>
  <c r="S17" i="3"/>
  <c r="R17" i="3"/>
  <c r="Q17" i="3"/>
  <c r="P17" i="3"/>
  <c r="T16" i="3"/>
  <c r="S16" i="3"/>
  <c r="R16" i="3"/>
  <c r="Q16" i="3"/>
  <c r="P16" i="3"/>
  <c r="T15" i="3"/>
  <c r="S15" i="3"/>
  <c r="R15" i="3"/>
  <c r="Q15" i="3"/>
  <c r="P15" i="3"/>
  <c r="T14" i="3"/>
  <c r="S14" i="3"/>
  <c r="R14" i="3"/>
  <c r="Q14" i="3"/>
  <c r="P14" i="3"/>
  <c r="T13" i="3"/>
  <c r="S13" i="3"/>
  <c r="R13" i="3"/>
  <c r="Q13" i="3"/>
  <c r="P13" i="3"/>
  <c r="T12" i="3"/>
  <c r="S12" i="3"/>
  <c r="R12" i="3"/>
  <c r="Q12" i="3"/>
  <c r="P12" i="3"/>
  <c r="T26" i="2"/>
  <c r="S26" i="2"/>
  <c r="R26" i="2"/>
  <c r="Q26" i="2"/>
  <c r="P26" i="2"/>
  <c r="T25" i="2"/>
  <c r="S25" i="2"/>
  <c r="R25" i="2"/>
  <c r="Q25" i="2"/>
  <c r="P25" i="2"/>
  <c r="T24" i="2"/>
  <c r="S24" i="2"/>
  <c r="R24" i="2"/>
  <c r="Q24" i="2"/>
  <c r="P24" i="2"/>
  <c r="T23" i="2"/>
  <c r="S23" i="2"/>
  <c r="R23" i="2"/>
  <c r="Q23" i="2"/>
  <c r="P23" i="2"/>
  <c r="T22" i="2"/>
  <c r="S22" i="2"/>
  <c r="R22" i="2"/>
  <c r="Q22" i="2"/>
  <c r="P22" i="2"/>
  <c r="T21" i="2"/>
  <c r="S21" i="2"/>
  <c r="R21" i="2"/>
  <c r="Q21" i="2"/>
  <c r="P21" i="2"/>
  <c r="T20" i="2"/>
  <c r="S20" i="2"/>
  <c r="R20" i="2"/>
  <c r="Q20" i="2"/>
  <c r="P20" i="2"/>
  <c r="T19" i="2"/>
  <c r="S19" i="2"/>
  <c r="R19" i="2"/>
  <c r="Q19" i="2"/>
  <c r="P19" i="2"/>
  <c r="T18" i="2"/>
  <c r="S18" i="2"/>
  <c r="R18" i="2"/>
  <c r="Q18" i="2"/>
  <c r="P18" i="2"/>
  <c r="T17" i="2"/>
  <c r="S17" i="2"/>
  <c r="R17" i="2"/>
  <c r="Q17" i="2"/>
  <c r="P17" i="2"/>
  <c r="T16" i="2"/>
  <c r="S16" i="2"/>
  <c r="R16" i="2"/>
  <c r="Q16" i="2"/>
  <c r="P16" i="2"/>
  <c r="T15" i="2"/>
  <c r="S15" i="2"/>
  <c r="R15" i="2"/>
  <c r="Q15" i="2"/>
  <c r="P15" i="2"/>
  <c r="T14" i="2"/>
  <c r="S14" i="2"/>
  <c r="R14" i="2"/>
  <c r="Q14" i="2"/>
  <c r="P14" i="2"/>
  <c r="T13" i="2"/>
  <c r="S13" i="2"/>
  <c r="R13" i="2"/>
  <c r="Q13" i="2"/>
  <c r="P13" i="2"/>
  <c r="T12" i="2"/>
  <c r="S12" i="2"/>
  <c r="R12" i="2"/>
  <c r="Q12" i="2"/>
  <c r="P12" i="2"/>
  <c r="V26" i="2" l="1"/>
  <c r="W26" i="2"/>
  <c r="U26" i="2"/>
  <c r="W19" i="2"/>
  <c r="U19" i="2"/>
  <c r="V19" i="2"/>
  <c r="U24" i="2"/>
  <c r="V24" i="2"/>
  <c r="W24" i="2"/>
  <c r="U23" i="2"/>
  <c r="V23" i="2"/>
  <c r="W23" i="2"/>
  <c r="V16" i="2"/>
  <c r="W16" i="2"/>
  <c r="U16" i="2"/>
  <c r="V15" i="2"/>
  <c r="W15" i="2"/>
  <c r="U15" i="2"/>
  <c r="V21" i="2"/>
  <c r="W21" i="2"/>
  <c r="U21" i="2"/>
  <c r="V14" i="2"/>
  <c r="W14" i="2"/>
  <c r="U14" i="2"/>
  <c r="V17" i="2"/>
  <c r="W17" i="2"/>
  <c r="U17" i="2"/>
  <c r="U22" i="2"/>
  <c r="V22" i="2"/>
  <c r="W22" i="2"/>
  <c r="V20" i="2"/>
  <c r="W20" i="2"/>
  <c r="U20" i="2"/>
  <c r="W13" i="2"/>
  <c r="W33" i="2" s="1"/>
  <c r="U13" i="2"/>
  <c r="U33" i="2" s="1"/>
  <c r="V13" i="2"/>
  <c r="V33" i="2" s="1"/>
  <c r="W25" i="2"/>
  <c r="U25" i="2"/>
  <c r="V25" i="2"/>
  <c r="U18" i="2"/>
  <c r="W18" i="2"/>
  <c r="V18" i="2"/>
  <c r="V12" i="2"/>
  <c r="U12" i="2"/>
  <c r="W12" i="2"/>
  <c r="W12" i="3"/>
  <c r="V12" i="3"/>
  <c r="U12" i="3"/>
  <c r="U13" i="3"/>
  <c r="V13" i="3"/>
  <c r="W13" i="3"/>
  <c r="U14" i="3"/>
  <c r="V14" i="3"/>
  <c r="W14" i="3"/>
  <c r="U15" i="3"/>
  <c r="V15" i="3"/>
  <c r="W15" i="3"/>
  <c r="U16" i="3"/>
  <c r="V16" i="3"/>
  <c r="W16" i="3"/>
  <c r="U17" i="3"/>
  <c r="V17" i="3"/>
  <c r="W17" i="3"/>
  <c r="U18" i="3"/>
  <c r="V18" i="3"/>
  <c r="W18" i="3"/>
  <c r="U20" i="3"/>
  <c r="V20" i="3"/>
  <c r="W20" i="3"/>
  <c r="U21" i="3"/>
  <c r="V21" i="3"/>
  <c r="W21" i="3"/>
  <c r="U23" i="3"/>
  <c r="V23" i="3"/>
  <c r="W23" i="3"/>
  <c r="U24" i="3"/>
  <c r="V24" i="3"/>
  <c r="W24" i="3"/>
  <c r="U25" i="3"/>
  <c r="V25" i="3"/>
  <c r="W25" i="3"/>
  <c r="U26" i="3"/>
  <c r="V26" i="3"/>
  <c r="W26" i="3"/>
  <c r="W12" i="4"/>
  <c r="V12" i="4"/>
  <c r="U12" i="4"/>
  <c r="U13" i="4"/>
  <c r="V13" i="4"/>
  <c r="W13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V31" i="4" s="1"/>
  <c r="W22" i="4"/>
  <c r="W31" i="4" s="1"/>
  <c r="U23" i="4"/>
  <c r="V23" i="4"/>
  <c r="W23" i="4"/>
  <c r="U24" i="4"/>
  <c r="V24" i="4"/>
  <c r="W24" i="4"/>
  <c r="U25" i="4"/>
  <c r="V25" i="4"/>
  <c r="W25" i="4"/>
  <c r="U26" i="4"/>
  <c r="V26" i="4"/>
  <c r="W26" i="4"/>
  <c r="V19" i="3"/>
  <c r="U19" i="3"/>
  <c r="W19" i="3"/>
  <c r="W22" i="3"/>
  <c r="U22" i="3"/>
  <c r="V22" i="3"/>
  <c r="X21" i="4" l="1"/>
  <c r="V30" i="3"/>
  <c r="X18" i="3"/>
  <c r="X21" i="3"/>
  <c r="X20" i="4"/>
  <c r="X18" i="4"/>
  <c r="U30" i="3"/>
  <c r="X20" i="3"/>
  <c r="W30" i="3"/>
  <c r="X22" i="3"/>
  <c r="U31" i="4"/>
  <c r="X31" i="4" s="1"/>
  <c r="X22" i="4"/>
  <c r="W30" i="4"/>
  <c r="V30" i="4"/>
  <c r="U30" i="4"/>
  <c r="W28" i="4"/>
  <c r="V28" i="4"/>
  <c r="U28" i="4"/>
  <c r="W33" i="4"/>
  <c r="V33" i="4"/>
  <c r="U33" i="4"/>
  <c r="U34" i="4"/>
  <c r="U32" i="4"/>
  <c r="V34" i="4"/>
  <c r="V35" i="4" s="1"/>
  <c r="V32" i="4"/>
  <c r="W34" i="4"/>
  <c r="W35" i="4" s="1"/>
  <c r="W32" i="4"/>
  <c r="W28" i="3"/>
  <c r="V28" i="3"/>
  <c r="U28" i="3"/>
  <c r="W33" i="3"/>
  <c r="V33" i="3"/>
  <c r="U33" i="3"/>
  <c r="U32" i="3"/>
  <c r="V32" i="3"/>
  <c r="W32" i="3"/>
  <c r="X17" i="4"/>
  <c r="X19" i="4"/>
  <c r="V34" i="3"/>
  <c r="V35" i="3" s="1"/>
  <c r="V31" i="3"/>
  <c r="U31" i="3"/>
  <c r="U34" i="3"/>
  <c r="W34" i="3"/>
  <c r="W35" i="3" s="1"/>
  <c r="W31" i="3"/>
  <c r="X17" i="3"/>
  <c r="W32" i="2"/>
  <c r="U28" i="2"/>
  <c r="V32" i="2"/>
  <c r="W29" i="2"/>
  <c r="V29" i="2"/>
  <c r="V28" i="2"/>
  <c r="U31" i="2"/>
  <c r="U29" i="2"/>
  <c r="W31" i="2"/>
  <c r="W30" i="2"/>
  <c r="V30" i="2"/>
  <c r="V31" i="2"/>
  <c r="U30" i="2"/>
  <c r="X12" i="3"/>
  <c r="U27" i="2"/>
  <c r="U32" i="2"/>
  <c r="V27" i="2"/>
  <c r="W27" i="2"/>
  <c r="X13" i="4"/>
  <c r="X16" i="3"/>
  <c r="X13" i="3"/>
  <c r="X14" i="3"/>
  <c r="X12" i="4"/>
  <c r="X16" i="4"/>
  <c r="X14" i="4"/>
  <c r="X15" i="4"/>
  <c r="X19" i="3"/>
  <c r="X15" i="3"/>
  <c r="U35" i="2" l="1"/>
  <c r="V35" i="2"/>
  <c r="X30" i="4"/>
  <c r="X30" i="3"/>
  <c r="X28" i="3"/>
  <c r="X33" i="4"/>
  <c r="X28" i="4"/>
  <c r="X33" i="3"/>
  <c r="X32" i="3"/>
  <c r="X32" i="4"/>
  <c r="X34" i="4"/>
  <c r="X35" i="4" s="1"/>
  <c r="U35" i="4"/>
  <c r="X34" i="3"/>
  <c r="X35" i="3" s="1"/>
  <c r="X31" i="3"/>
  <c r="U35" i="3"/>
  <c r="W28" i="2"/>
  <c r="W35" i="2" s="1"/>
  <c r="W36" i="2" l="1"/>
</calcChain>
</file>

<file path=xl/sharedStrings.xml><?xml version="1.0" encoding="utf-8"?>
<sst xmlns="http://schemas.openxmlformats.org/spreadsheetml/2006/main" count="252" uniqueCount="124">
  <si>
    <t>申請日</t>
  </si>
  <si>
    <t>年</t>
  </si>
  <si>
    <t>月</t>
  </si>
  <si>
    <t>日</t>
  </si>
  <si>
    <t>１・責任者情報</t>
  </si>
  <si>
    <t>責任者名</t>
  </si>
  <si>
    <t xml:space="preserve">責任者アカウント名
</t>
  </si>
  <si>
    <t>責任者所属</t>
  </si>
  <si>
    <t>責任者職名</t>
  </si>
  <si>
    <t>２・研究プロジェクト名（プロジェクト名があれば記入してください）</t>
  </si>
  <si>
    <t>３・ユーザー一覧     
 (※）グループは通常は責任者1名に対して１つ作られます。同一グループのユーザーは互いにファイルの読み書きが出来ます。ファイルアクセス制御のため責任者1名に対して複数のグループを作成したい場合は表の中に希望グループ名を記載してください。</t>
  </si>
  <si>
    <t>No.</t>
  </si>
  <si>
    <t>氏名</t>
  </si>
  <si>
    <t>E-mail</t>
  </si>
  <si>
    <t>希望アカウント名</t>
  </si>
  <si>
    <t>希望グループ名（※）</t>
  </si>
  <si>
    <t>所属・職名</t>
  </si>
  <si>
    <t>４・研究利用内容 (利用目的、利用するプログラム等)</t>
  </si>
  <si>
    <t>５・利用リソース量の計画 (希望するリソース量および必要リソース量の見積方法)</t>
  </si>
  <si>
    <t>６・その他の希望事項</t>
  </si>
  <si>
    <t>料金試算表</t>
  </si>
  <si>
    <t>一般解析区画を利用し、ストレージ利用量が責任者あたりの合計で30TB以下の場合は無料となります。</t>
  </si>
  <si>
    <t>申請日：</t>
  </si>
  <si>
    <t>責任者名：</t>
  </si>
  <si>
    <t>責任者アカウント：</t>
  </si>
  <si>
    <t>責任者所属：</t>
  </si>
  <si>
    <t>開始日</t>
  </si>
  <si>
    <t>終了日</t>
  </si>
  <si>
    <t>サービス</t>
  </si>
  <si>
    <t>種別</t>
  </si>
  <si>
    <t>アカウント名またはグループ名</t>
  </si>
  <si>
    <t>リソース量合計</t>
  </si>
  <si>
    <t>サービス種別</t>
  </si>
  <si>
    <t>第一期日数</t>
  </si>
  <si>
    <t>第二期日数</t>
  </si>
  <si>
    <t>第三期日数</t>
  </si>
  <si>
    <t>第一期料金
(消費税抜き)</t>
  </si>
  <si>
    <t>第二期料金
(消費税抜き)</t>
  </si>
  <si>
    <t>第三期料金
(消費税抜き)</t>
  </si>
  <si>
    <t>合計</t>
  </si>
  <si>
    <t>ストレージ大規模利用_一般解析区画</t>
  </si>
  <si>
    <t>Quota設定のみ</t>
  </si>
  <si>
    <t>グループクラウド基本料金</t>
    <rPh sb="8" eb="12">
      <t>キホンリョウキン</t>
    </rPh>
    <phoneticPr fontId="13"/>
  </si>
  <si>
    <t>計算ノード優先利用_一般解析区画 料金合計</t>
  </si>
  <si>
    <t>計算ノード占有利用_一般解析区画 料金合計</t>
  </si>
  <si>
    <t>計算ノード優先利用_個人ゲノム区画 料金合計</t>
  </si>
  <si>
    <t>計算ノード占有利用_個人ゲノム区画 料金合計</t>
  </si>
  <si>
    <t>計算ノードGPU専用Slurm_個人ゲノム区画 料金合計</t>
  </si>
  <si>
    <t>ストレージ大規模利用_一般解析区画 - Quota設定のみ 料金合計</t>
  </si>
  <si>
    <t>ストレージ大規模利用_個人ゲノム区画 - Quota設定のみ 料金合計</t>
  </si>
  <si>
    <t>料金合計</t>
  </si>
  <si>
    <t>消費税</t>
  </si>
  <si>
    <t>申請日： 2026/03/31</t>
  </si>
  <si>
    <t>責任者名： 鈴木太郎</t>
  </si>
  <si>
    <t>責任者アカウント： taro</t>
  </si>
  <si>
    <t>責任者所属： 国立遺伝学研究所</t>
  </si>
  <si>
    <t>taro</t>
  </si>
  <si>
    <t>jiro</t>
  </si>
  <si>
    <t>santaro</t>
  </si>
  <si>
    <t>鈴木太郎</t>
  </si>
  <si>
    <t>佐藤次郎</t>
  </si>
  <si>
    <t>斎藤三郎</t>
  </si>
  <si>
    <t>ストレージ大規模利用_個人ゲノム区画</t>
  </si>
  <si>
    <t>計算ノード占有利用_一般解析区画</t>
  </si>
  <si>
    <t>CPU最適化ノードType1(1単位 = 1CPUコア 8GBメモリ)</t>
  </si>
  <si>
    <t>Memory最適化ノードType2(1単位 = 64CPUコア 1TBメモリ)</t>
  </si>
  <si>
    <t>計算ノード占有利用_個人ゲノム区画</t>
  </si>
  <si>
    <t>CPU最適化ノードType2(1単位 = 1CPUコア 4GBメモリ)</t>
  </si>
  <si>
    <t>計算ノードGPU専用Slurm_個人ゲノム区画</t>
  </si>
  <si>
    <t>Accelerator最適化ノードType2(1単位 = 1GPU 16CPUコア 192GBメモリ)</t>
  </si>
  <si>
    <t>taro-group1</t>
  </si>
  <si>
    <t>taro-group2</t>
  </si>
  <si>
    <t>計算ノード優先利用_一般解析区画</t>
  </si>
  <si>
    <t>Memory最適化ノードType1(1単位 = 32CPUコア 1TBメモリ)</t>
  </si>
  <si>
    <t>Accelerator最適化ノードType1(1単位 = 1GPU 14CPUコア 250GBメモリ)</t>
  </si>
  <si>
    <t>Accelerator最適化ノードType3(1台)</t>
  </si>
  <si>
    <t>計算ノード優先利用_個人ゲノム区画</t>
  </si>
  <si>
    <t>ストレージ大規模利用_一般解析区画Quota設定のみ</t>
  </si>
  <si>
    <t>ストレージ大規模利用_個人ゲノム区画Quota設定のみ</t>
  </si>
  <si>
    <t>年間日数</t>
  </si>
  <si>
    <t>ストレージ一般解析Quota設定のみ単価</t>
  </si>
  <si>
    <t>ストレージ個人ゲノムQuota設定のみ単価</t>
  </si>
  <si>
    <t>ストレージ個人ゲノムQuota設定のみ基本料金</t>
  </si>
  <si>
    <t>CPU_Type1単価</t>
  </si>
  <si>
    <t>CPU_Type2単価</t>
  </si>
  <si>
    <t>Memory_Type1単価</t>
  </si>
  <si>
    <t>Memory_Type2単価</t>
  </si>
  <si>
    <t>Accelerator_type1単価</t>
  </si>
  <si>
    <t>Accelerator_type2単価</t>
  </si>
  <si>
    <t>Accelerator_type3単価</t>
  </si>
  <si>
    <t>文書管理番号: 【C-49】</t>
  </si>
  <si>
    <t>機密性1, 完全性1, 可用性1</t>
  </si>
  <si>
    <r>
      <rPr>
        <sz val="11"/>
        <color theme="1"/>
        <rFont val="MS PGothic"/>
        <family val="3"/>
        <charset val="128"/>
      </rPr>
      <t>作成者：</t>
    </r>
    <r>
      <rPr>
        <sz val="11"/>
        <color theme="1"/>
        <rFont val="MS PGothic"/>
        <family val="3"/>
        <charset val="128"/>
      </rPr>
      <t xml:space="preserve">  </t>
    </r>
    <r>
      <rPr>
        <sz val="11"/>
        <color theme="1"/>
        <rFont val="MS PGothic"/>
        <family val="3"/>
        <charset val="128"/>
      </rPr>
      <t>小笠原</t>
    </r>
    <r>
      <rPr>
        <sz val="11"/>
        <color theme="1"/>
        <rFont val="MS PGothic"/>
        <family val="3"/>
        <charset val="128"/>
      </rPr>
      <t xml:space="preserve"> </t>
    </r>
    <r>
      <rPr>
        <sz val="11"/>
        <color theme="1"/>
        <rFont val="MS PGothic"/>
        <family val="3"/>
        <charset val="128"/>
      </rPr>
      <t>理</t>
    </r>
  </si>
  <si>
    <t>初版制定日: 2023/6/29</t>
  </si>
  <si>
    <t>更新日</t>
  </si>
  <si>
    <t>更新内容</t>
  </si>
  <si>
    <t>更新者：  滝口　八重子</t>
  </si>
  <si>
    <t>GPUノード料金改正にともない、バージョン更新 v1.0.0=&gt;v1.1.0</t>
  </si>
  <si>
    <t xml:space="preserve"> 承認者： 小笠原 理</t>
  </si>
  <si>
    <t>サービス欄のslurm項目「計算ノードGPU専用Slurm_個人ゲノム区画」を追加　バージョン更新v1.1.0=&gt;v1.2.0</t>
  </si>
  <si>
    <t>合計欄のslurm項目「計算ノードGPU専用Slurm_個人ゲノム区画」を修正　バージョン更新v1.2.0=&gt;v1.2.1</t>
  </si>
  <si>
    <t>【A-00】文書一覧表の文書管理番号が修正されたため、文書管理番号を修正した。バージョン更新v2.0.0=&gt;2.1.0</t>
  </si>
  <si>
    <t>表紙・文書履歴シートの書式を【C-06】リスクアセスメント結果表に合わせた。バージョン更新v2.1.0=&gt;v2.2.0</t>
  </si>
  <si>
    <t>2025年度版を作成した。料金表改定に伴う項目及び金額変更・消費税欄追加。2024年度版は、記録(C）へ移動した。バージョン更新v2.2.0=&gt;2.3.0</t>
    <rPh sb="4" eb="7">
      <t>ネンドバン</t>
    </rPh>
    <rPh sb="8" eb="10">
      <t>サクセイ</t>
    </rPh>
    <rPh sb="13" eb="18">
      <t>リョウキンヒョウカイテイ</t>
    </rPh>
    <rPh sb="19" eb="20">
      <t>トモナ</t>
    </rPh>
    <rPh sb="21" eb="23">
      <t>コウモク</t>
    </rPh>
    <rPh sb="23" eb="24">
      <t>オヨ</t>
    </rPh>
    <rPh sb="25" eb="27">
      <t>キンガク</t>
    </rPh>
    <rPh sb="27" eb="29">
      <t>ヘンコウ</t>
    </rPh>
    <rPh sb="30" eb="33">
      <t>ショウヒゼイ</t>
    </rPh>
    <rPh sb="33" eb="34">
      <t>ラン</t>
    </rPh>
    <rPh sb="34" eb="36">
      <t>ツイカ</t>
    </rPh>
    <rPh sb="41" eb="44">
      <t>ネンドバン</t>
    </rPh>
    <rPh sb="46" eb="48">
      <t>キロク</t>
    </rPh>
    <rPh sb="52" eb="54">
      <t>イドウ</t>
    </rPh>
    <rPh sb="62" eb="64">
      <t>コウシン</t>
    </rPh>
    <phoneticPr fontId="13"/>
  </si>
  <si>
    <t>すべて税込み表記、「年間料金」を「合計」、消費税をカッコ表示にした。バージョン更新2.3.0=&gt;v2.4.0</t>
    <rPh sb="3" eb="5">
      <t>ゼイコ</t>
    </rPh>
    <rPh sb="6" eb="8">
      <t>ヒョウキ</t>
    </rPh>
    <rPh sb="10" eb="14">
      <t>ネンカンリョウキン</t>
    </rPh>
    <rPh sb="17" eb="19">
      <t>ゴウケイ</t>
    </rPh>
    <rPh sb="21" eb="24">
      <t>ショウヒゼイ</t>
    </rPh>
    <rPh sb="28" eb="30">
      <t>ヒョウジ</t>
    </rPh>
    <rPh sb="39" eb="41">
      <t>コウシン</t>
    </rPh>
    <phoneticPr fontId="13"/>
  </si>
  <si>
    <t>財務係から消費税は小数点以下切り捨ての指示あり　税抜き価格に消費税を加算する様式に変更した
また、料金の算出についても小数点以下を切り捨てとした　記入例シートを修正した　バージョン更新2.4.0=&gt;v2.5.0</t>
    <rPh sb="0" eb="3">
      <t>ザイムカカリ</t>
    </rPh>
    <rPh sb="5" eb="8">
      <t>ショウヒゼイ</t>
    </rPh>
    <rPh sb="9" eb="14">
      <t>ショウスウテンイカ</t>
    </rPh>
    <rPh sb="14" eb="15">
      <t>キ</t>
    </rPh>
    <rPh sb="16" eb="17">
      <t>ス</t>
    </rPh>
    <rPh sb="19" eb="21">
      <t>シジ</t>
    </rPh>
    <rPh sb="24" eb="26">
      <t>ゼイヌ</t>
    </rPh>
    <rPh sb="27" eb="29">
      <t>カカク</t>
    </rPh>
    <rPh sb="30" eb="33">
      <t>ショウヒゼイ</t>
    </rPh>
    <rPh sb="34" eb="36">
      <t>カサン</t>
    </rPh>
    <rPh sb="38" eb="40">
      <t>ヨウシキ</t>
    </rPh>
    <rPh sb="41" eb="43">
      <t>ヘンコウ</t>
    </rPh>
    <rPh sb="49" eb="51">
      <t>リョウキン</t>
    </rPh>
    <rPh sb="52" eb="54">
      <t>サンシュツ</t>
    </rPh>
    <rPh sb="59" eb="64">
      <t>ショウスウテンイカ</t>
    </rPh>
    <rPh sb="65" eb="66">
      <t>キ</t>
    </rPh>
    <rPh sb="67" eb="68">
      <t>ス</t>
    </rPh>
    <rPh sb="73" eb="75">
      <t>キニュウ</t>
    </rPh>
    <rPh sb="75" eb="76">
      <t>レイ</t>
    </rPh>
    <rPh sb="80" eb="82">
      <t>シュウセイ</t>
    </rPh>
    <phoneticPr fontId="13"/>
  </si>
  <si>
    <t>年間総合計</t>
    <phoneticPr fontId="13"/>
  </si>
  <si>
    <t>バージョン: 2026_v1.0.0</t>
    <phoneticPr fontId="13"/>
  </si>
  <si>
    <t>2024年度版を作成した。2023年度版は、記録(c)へ移動した。バージョン更新v1.2.1=&gt;2.0.0</t>
    <phoneticPr fontId="13"/>
  </si>
  <si>
    <t>第一期料金
(消費税込み)</t>
  </si>
  <si>
    <t>第二期料金
(消費税込み)</t>
  </si>
  <si>
    <t>第三期料金
(消費税込み)</t>
  </si>
  <si>
    <t>料金合計</t>
    <phoneticPr fontId="13"/>
  </si>
  <si>
    <t>2026年度版を作成した。横合計を削除総合計を追加し、全て税込み表示とした。2025年度版は、記録(c)へ移動した。バージョン更新=&gt;2026_v1.0.0</t>
    <rPh sb="4" eb="7">
      <t>ネンドバン</t>
    </rPh>
    <rPh sb="8" eb="10">
      <t>サクセイ</t>
    </rPh>
    <rPh sb="13" eb="16">
      <t>ヨコゴウケイ</t>
    </rPh>
    <rPh sb="17" eb="19">
      <t>サクジョ</t>
    </rPh>
    <rPh sb="19" eb="22">
      <t>ソウゴウケイ</t>
    </rPh>
    <rPh sb="23" eb="25">
      <t>ツイカ</t>
    </rPh>
    <rPh sb="27" eb="28">
      <t>スベ</t>
    </rPh>
    <rPh sb="29" eb="31">
      <t>ゼイコ</t>
    </rPh>
    <rPh sb="32" eb="34">
      <t>ヒョウジ</t>
    </rPh>
    <rPh sb="63" eb="65">
      <t>コウシン</t>
    </rPh>
    <phoneticPr fontId="13"/>
  </si>
  <si>
    <t>最終更新日時: 2026/2/25</t>
    <phoneticPr fontId="13"/>
  </si>
  <si>
    <t>承認日: 2026/2/25</t>
    <phoneticPr fontId="13"/>
  </si>
  <si>
    <t>CPU_Type1</t>
  </si>
  <si>
    <t>CPU_Type2</t>
  </si>
  <si>
    <t>Memory_Type1</t>
  </si>
  <si>
    <t>Memory_Type2</t>
  </si>
  <si>
    <t>Accelerator_type1</t>
  </si>
  <si>
    <t>Accelerator_type2</t>
  </si>
  <si>
    <t>Accelerator_type3</t>
  </si>
  <si>
    <t>利用しない項目を削除した
* サービス
・計算ノード優先利用_一般解析区画（削除）
・計算ノード優先利用_個人ゲノム区画 （削除）
* 種別
・Memory最適化ノードType1(1単位 = 32CPUコア 1TBメモリ) （削除）
・一般解析区画でアクセラレータ最適化ノードは選択できないようにした
バージョン更新=&gt;2026_v1.1.0</t>
    <rPh sb="0" eb="2">
      <t>リヨウ</t>
    </rPh>
    <rPh sb="5" eb="7">
      <t>コウモク</t>
    </rPh>
    <rPh sb="8" eb="10">
      <t>サクジョ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</si>
</sst>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[$-F800]dddd\,\ mmmm\ dd\,\ yyyy"/>
    <numFmt numFmtId="177" formatCode="0_);[Red]\(0\)"/>
  </numFmts>
  <fonts count="17">
    <font>
      <sz val="11"/>
      <color theme="1"/>
      <name val="Calibri"/>
      <scheme val="minor"/>
    </font>
    <font>
      <sz val="11"/>
      <color theme="1"/>
      <name val="MS Mincho"/>
      <family val="1"/>
      <charset val="128"/>
    </font>
    <font>
      <sz val="11"/>
      <name val="Calibri"/>
      <family val="2"/>
    </font>
    <font>
      <sz val="10"/>
      <color theme="1"/>
      <name val="MS Mincho"/>
      <family val="1"/>
      <charset val="128"/>
    </font>
    <font>
      <sz val="11"/>
      <color theme="1"/>
      <name val="Calibri"/>
      <family val="2"/>
    </font>
    <font>
      <b/>
      <sz val="20"/>
      <color theme="1"/>
      <name val="MS Mincho"/>
      <family val="1"/>
      <charset val="128"/>
    </font>
    <font>
      <b/>
      <sz val="14"/>
      <color theme="1"/>
      <name val="Yu gothic"/>
      <family val="3"/>
      <charset val="128"/>
    </font>
    <font>
      <sz val="14"/>
      <color theme="1"/>
      <name val="Yu gothic"/>
      <family val="3"/>
      <charset val="128"/>
    </font>
    <font>
      <sz val="14"/>
      <color rgb="FFC00000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S PGothic"/>
      <family val="3"/>
      <charset val="128"/>
    </font>
    <font>
      <sz val="11"/>
      <color rgb="FF000000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Yu Gothic UI Semilight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theme="6" tint="0.79998168889431442"/>
        <bgColor rgb="FFEAF1DD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double">
        <color indexed="64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dotted">
        <color rgb="FF000000"/>
      </bottom>
      <diagonal/>
    </border>
    <border>
      <left/>
      <right/>
      <top style="thin">
        <color indexed="64"/>
      </top>
      <bottom style="dotted">
        <color rgb="FF000000"/>
      </bottom>
      <diagonal/>
    </border>
    <border>
      <left/>
      <right style="thin">
        <color rgb="FF000000"/>
      </right>
      <top style="thin">
        <color indexed="64"/>
      </top>
      <bottom style="dotted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/>
      <right/>
      <top style="double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top"/>
    </xf>
    <xf numFmtId="0" fontId="9" fillId="4" borderId="15" xfId="0" applyFont="1" applyFill="1" applyBorder="1" applyAlignment="1">
      <alignment vertical="center"/>
    </xf>
    <xf numFmtId="0" fontId="9" fillId="4" borderId="16" xfId="0" applyFont="1" applyFill="1" applyBorder="1" applyAlignment="1">
      <alignment vertical="center"/>
    </xf>
    <xf numFmtId="0" fontId="9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/>
    </xf>
    <xf numFmtId="14" fontId="9" fillId="4" borderId="2" xfId="0" applyNumberFormat="1" applyFont="1" applyFill="1" applyBorder="1" applyAlignment="1">
      <alignment vertical="center"/>
    </xf>
    <xf numFmtId="14" fontId="9" fillId="4" borderId="22" xfId="0" applyNumberFormat="1" applyFont="1" applyFill="1" applyBorder="1" applyAlignment="1">
      <alignment vertical="center"/>
    </xf>
    <xf numFmtId="14" fontId="9" fillId="4" borderId="4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0" borderId="2" xfId="0" applyFont="1" applyBorder="1" applyAlignment="1">
      <alignment horizontal="right" vertical="center"/>
    </xf>
    <xf numFmtId="5" fontId="9" fillId="0" borderId="2" xfId="0" applyNumberFormat="1" applyFont="1" applyBorder="1" applyAlignment="1">
      <alignment vertical="center"/>
    </xf>
    <xf numFmtId="5" fontId="9" fillId="0" borderId="23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177" fontId="9" fillId="4" borderId="2" xfId="0" applyNumberFormat="1" applyFont="1" applyFill="1" applyBorder="1" applyAlignment="1">
      <alignment vertical="center"/>
    </xf>
    <xf numFmtId="14" fontId="9" fillId="4" borderId="7" xfId="0" applyNumberFormat="1" applyFont="1" applyFill="1" applyBorder="1" applyAlignment="1">
      <alignment vertical="center"/>
    </xf>
    <xf numFmtId="14" fontId="9" fillId="4" borderId="24" xfId="0" applyNumberFormat="1" applyFont="1" applyFill="1" applyBorder="1" applyAlignment="1">
      <alignment vertical="center"/>
    </xf>
    <xf numFmtId="0" fontId="9" fillId="4" borderId="24" xfId="0" applyFont="1" applyFill="1" applyBorder="1" applyAlignment="1">
      <alignment vertical="center"/>
    </xf>
    <xf numFmtId="177" fontId="9" fillId="4" borderId="24" xfId="0" applyNumberFormat="1" applyFont="1" applyFill="1" applyBorder="1" applyAlignment="1">
      <alignment vertical="center"/>
    </xf>
    <xf numFmtId="14" fontId="9" fillId="0" borderId="25" xfId="0" applyNumberFormat="1" applyFont="1" applyBorder="1" applyAlignment="1">
      <alignment horizontal="right" vertical="center"/>
    </xf>
    <xf numFmtId="0" fontId="9" fillId="0" borderId="26" xfId="0" applyFont="1" applyBorder="1" applyAlignment="1">
      <alignment vertical="center"/>
    </xf>
    <xf numFmtId="5" fontId="9" fillId="0" borderId="27" xfId="0" applyNumberFormat="1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5" fontId="9" fillId="0" borderId="31" xfId="0" applyNumberFormat="1" applyFont="1" applyBorder="1" applyAlignment="1">
      <alignment vertical="center"/>
    </xf>
    <xf numFmtId="5" fontId="9" fillId="0" borderId="32" xfId="0" applyNumberFormat="1" applyFont="1" applyBorder="1" applyAlignment="1">
      <alignment vertical="center"/>
    </xf>
    <xf numFmtId="5" fontId="9" fillId="0" borderId="30" xfId="0" applyNumberFormat="1" applyFont="1" applyBorder="1" applyAlignment="1">
      <alignment vertical="center"/>
    </xf>
    <xf numFmtId="5" fontId="9" fillId="0" borderId="33" xfId="0" applyNumberFormat="1" applyFont="1" applyBorder="1" applyAlignment="1">
      <alignment vertical="center"/>
    </xf>
    <xf numFmtId="5" fontId="9" fillId="0" borderId="1" xfId="0" applyNumberFormat="1" applyFont="1" applyBorder="1" applyAlignment="1">
      <alignment vertical="center"/>
    </xf>
    <xf numFmtId="5" fontId="9" fillId="0" borderId="14" xfId="0" applyNumberFormat="1" applyFont="1" applyBorder="1" applyAlignment="1">
      <alignment vertical="center"/>
    </xf>
    <xf numFmtId="0" fontId="9" fillId="4" borderId="16" xfId="0" applyFont="1" applyFill="1" applyBorder="1" applyAlignment="1">
      <alignment horizontal="left" vertical="top"/>
    </xf>
    <xf numFmtId="0" fontId="9" fillId="4" borderId="35" xfId="0" applyFont="1" applyFill="1" applyBorder="1" applyAlignment="1">
      <alignment horizontal="left" vertical="top"/>
    </xf>
    <xf numFmtId="0" fontId="9" fillId="4" borderId="36" xfId="0" applyFont="1" applyFill="1" applyBorder="1" applyAlignment="1">
      <alignment horizontal="left" vertical="top"/>
    </xf>
    <xf numFmtId="0" fontId="9" fillId="4" borderId="37" xfId="0" applyFont="1" applyFill="1" applyBorder="1" applyAlignment="1">
      <alignment horizontal="left" vertical="top"/>
    </xf>
    <xf numFmtId="0" fontId="9" fillId="4" borderId="36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4" fontId="11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5" xfId="0" applyFont="1" applyBorder="1" applyAlignment="1">
      <alignment vertical="center"/>
    </xf>
    <xf numFmtId="5" fontId="9" fillId="0" borderId="22" xfId="0" applyNumberFormat="1" applyFont="1" applyBorder="1" applyAlignment="1">
      <alignment vertical="center"/>
    </xf>
    <xf numFmtId="5" fontId="9" fillId="0" borderId="9" xfId="0" applyNumberFormat="1" applyFont="1" applyBorder="1" applyAlignment="1">
      <alignment vertical="center"/>
    </xf>
    <xf numFmtId="5" fontId="9" fillId="0" borderId="10" xfId="0" applyNumberFormat="1" applyFont="1" applyBorder="1" applyAlignment="1">
      <alignment vertical="center"/>
    </xf>
    <xf numFmtId="0" fontId="0" fillId="0" borderId="40" xfId="0" applyBorder="1" applyAlignment="1">
      <alignment vertical="center"/>
    </xf>
    <xf numFmtId="5" fontId="9" fillId="0" borderId="38" xfId="0" applyNumberFormat="1" applyFont="1" applyBorder="1" applyAlignment="1">
      <alignment vertical="center"/>
    </xf>
    <xf numFmtId="5" fontId="9" fillId="0" borderId="41" xfId="0" applyNumberFormat="1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" fillId="0" borderId="7" xfId="0" applyFont="1" applyBorder="1" applyAlignment="1">
      <alignment vertical="top"/>
    </xf>
    <xf numFmtId="0" fontId="1" fillId="0" borderId="3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9" fillId="3" borderId="34" xfId="0" applyFont="1" applyFill="1" applyBorder="1" applyAlignment="1">
      <alignment vertical="top"/>
    </xf>
    <xf numFmtId="0" fontId="9" fillId="4" borderId="20" xfId="0" applyFont="1" applyFill="1" applyBorder="1" applyAlignment="1">
      <alignment vertical="center"/>
    </xf>
    <xf numFmtId="14" fontId="9" fillId="0" borderId="7" xfId="0" applyNumberFormat="1" applyFont="1" applyBorder="1" applyAlignment="1">
      <alignment horizontal="right" vertical="center"/>
    </xf>
    <xf numFmtId="0" fontId="9" fillId="0" borderId="34" xfId="0" applyFont="1" applyBorder="1" applyAlignment="1">
      <alignment vertical="center"/>
    </xf>
    <xf numFmtId="14" fontId="9" fillId="4" borderId="25" xfId="0" applyNumberFormat="1" applyFont="1" applyFill="1" applyBorder="1" applyAlignment="1">
      <alignment vertical="center"/>
    </xf>
    <xf numFmtId="5" fontId="9" fillId="0" borderId="19" xfId="0" applyNumberFormat="1" applyFont="1" applyBorder="1" applyAlignment="1">
      <alignment vertical="center"/>
    </xf>
    <xf numFmtId="5" fontId="9" fillId="0" borderId="8" xfId="0" applyNumberFormat="1" applyFont="1" applyBorder="1" applyAlignment="1">
      <alignment vertical="center"/>
    </xf>
    <xf numFmtId="5" fontId="9" fillId="0" borderId="13" xfId="0" applyNumberFormat="1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 wrapText="1"/>
    </xf>
    <xf numFmtId="14" fontId="11" fillId="0" borderId="20" xfId="0" applyNumberFormat="1" applyFont="1" applyBorder="1" applyAlignment="1">
      <alignment vertical="center"/>
    </xf>
    <xf numFmtId="0" fontId="11" fillId="0" borderId="20" xfId="0" applyFont="1" applyBorder="1" applyAlignment="1">
      <alignment vertical="center" wrapText="1"/>
    </xf>
    <xf numFmtId="0" fontId="0" fillId="0" borderId="44" xfId="0" applyBorder="1" applyAlignment="1">
      <alignment vertical="center"/>
    </xf>
    <xf numFmtId="5" fontId="9" fillId="0" borderId="42" xfId="0" applyNumberFormat="1" applyFont="1" applyBorder="1" applyAlignment="1">
      <alignment horizontal="right" vertical="center"/>
    </xf>
    <xf numFmtId="5" fontId="9" fillId="0" borderId="45" xfId="0" applyNumberFormat="1" applyFont="1" applyBorder="1" applyAlignment="1">
      <alignment horizontal="right" vertical="center"/>
    </xf>
    <xf numFmtId="5" fontId="9" fillId="0" borderId="47" xfId="0" applyNumberFormat="1" applyFont="1" applyBorder="1" applyAlignment="1">
      <alignment vertical="center"/>
    </xf>
    <xf numFmtId="5" fontId="9" fillId="0" borderId="46" xfId="0" applyNumberFormat="1" applyFont="1" applyBorder="1" applyAlignment="1">
      <alignment horizontal="right" vertical="center"/>
    </xf>
    <xf numFmtId="5" fontId="9" fillId="0" borderId="48" xfId="0" applyNumberFormat="1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4" fontId="9" fillId="0" borderId="3" xfId="0" applyNumberFormat="1" applyFont="1" applyBorder="1" applyAlignment="1">
      <alignment horizontal="left" vertical="center"/>
    </xf>
    <xf numFmtId="14" fontId="9" fillId="0" borderId="43" xfId="0" applyNumberFormat="1" applyFont="1" applyBorder="1" applyAlignment="1">
      <alignment horizontal="left" vertical="center"/>
    </xf>
    <xf numFmtId="14" fontId="9" fillId="0" borderId="39" xfId="0" applyNumberFormat="1" applyFont="1" applyBorder="1" applyAlignment="1">
      <alignment horizontal="left" vertical="center"/>
    </xf>
    <xf numFmtId="14" fontId="9" fillId="0" borderId="28" xfId="0" applyNumberFormat="1" applyFont="1" applyBorder="1" applyAlignment="1">
      <alignment horizontal="left" vertical="center"/>
    </xf>
    <xf numFmtId="14" fontId="9" fillId="0" borderId="7" xfId="0" applyNumberFormat="1" applyFont="1" applyBorder="1" applyAlignment="1">
      <alignment horizontal="left" vertical="center"/>
    </xf>
    <xf numFmtId="14" fontId="9" fillId="0" borderId="4" xfId="0" applyNumberFormat="1" applyFont="1" applyBorder="1" applyAlignment="1">
      <alignment horizontal="left" vertical="center"/>
    </xf>
    <xf numFmtId="0" fontId="9" fillId="0" borderId="1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4" fontId="9" fillId="0" borderId="51" xfId="0" applyNumberFormat="1" applyFont="1" applyBorder="1" applyAlignment="1">
      <alignment horizontal="right" vertical="center"/>
    </xf>
    <xf numFmtId="0" fontId="9" fillId="0" borderId="52" xfId="0" applyFont="1" applyBorder="1" applyAlignment="1">
      <alignment vertical="center"/>
    </xf>
    <xf numFmtId="5" fontId="9" fillId="0" borderId="50" xfId="0" applyNumberFormat="1" applyFont="1" applyBorder="1" applyAlignment="1">
      <alignment vertical="center"/>
    </xf>
    <xf numFmtId="14" fontId="9" fillId="0" borderId="53" xfId="0" applyNumberFormat="1" applyFont="1" applyBorder="1" applyAlignment="1">
      <alignment horizontal="left"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6" xfId="0" applyBorder="1" applyAlignment="1">
      <alignment vertical="center"/>
    </xf>
    <xf numFmtId="0" fontId="14" fillId="0" borderId="0" xfId="0" applyFont="1" applyAlignment="1">
      <alignment vertical="center"/>
    </xf>
    <xf numFmtId="14" fontId="9" fillId="0" borderId="60" xfId="0" applyNumberFormat="1" applyFont="1" applyBorder="1" applyAlignment="1">
      <alignment horizontal="left"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14" fontId="9" fillId="0" borderId="63" xfId="0" applyNumberFormat="1" applyFont="1" applyBorder="1" applyAlignment="1">
      <alignment horizontal="left" vertical="center"/>
    </xf>
    <xf numFmtId="5" fontId="9" fillId="0" borderId="64" xfId="0" applyNumberFormat="1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9" fillId="0" borderId="61" xfId="0" applyFont="1" applyBorder="1" applyAlignment="1">
      <alignment vertical="center"/>
    </xf>
    <xf numFmtId="5" fontId="9" fillId="0" borderId="80" xfId="0" applyNumberFormat="1" applyFont="1" applyBorder="1" applyAlignment="1">
      <alignment vertical="center"/>
    </xf>
    <xf numFmtId="5" fontId="9" fillId="0" borderId="81" xfId="0" applyNumberFormat="1" applyFont="1" applyBorder="1" applyAlignment="1">
      <alignment vertical="center"/>
    </xf>
    <xf numFmtId="5" fontId="9" fillId="0" borderId="82" xfId="0" applyNumberFormat="1" applyFont="1" applyBorder="1" applyAlignment="1">
      <alignment vertical="center"/>
    </xf>
    <xf numFmtId="5" fontId="9" fillId="0" borderId="83" xfId="0" applyNumberFormat="1" applyFont="1" applyBorder="1" applyAlignment="1">
      <alignment vertical="center"/>
    </xf>
    <xf numFmtId="0" fontId="2" fillId="0" borderId="87" xfId="0" applyFont="1" applyBorder="1" applyAlignment="1">
      <alignment vertical="center"/>
    </xf>
    <xf numFmtId="0" fontId="9" fillId="3" borderId="87" xfId="0" applyFont="1" applyFill="1" applyBorder="1" applyAlignment="1">
      <alignment vertical="top"/>
    </xf>
    <xf numFmtId="0" fontId="2" fillId="0" borderId="88" xfId="0" applyFont="1" applyBorder="1" applyAlignment="1">
      <alignment vertical="center"/>
    </xf>
    <xf numFmtId="0" fontId="5" fillId="3" borderId="89" xfId="0" applyFont="1" applyFill="1" applyBorder="1" applyAlignment="1">
      <alignment vertical="center"/>
    </xf>
    <xf numFmtId="0" fontId="5" fillId="3" borderId="49" xfId="0" applyFont="1" applyFill="1" applyBorder="1" applyAlignment="1">
      <alignment vertical="center"/>
    </xf>
    <xf numFmtId="0" fontId="6" fillId="3" borderId="49" xfId="0" applyFont="1" applyFill="1" applyBorder="1" applyAlignment="1">
      <alignment vertical="center"/>
    </xf>
    <xf numFmtId="0" fontId="7" fillId="3" borderId="49" xfId="0" applyFont="1" applyFill="1" applyBorder="1" applyAlignment="1">
      <alignment vertical="center"/>
    </xf>
    <xf numFmtId="0" fontId="6" fillId="3" borderId="90" xfId="0" applyFont="1" applyFill="1" applyBorder="1" applyAlignment="1">
      <alignment vertical="center"/>
    </xf>
    <xf numFmtId="0" fontId="8" fillId="3" borderId="76" xfId="0" applyFont="1" applyFill="1" applyBorder="1" applyAlignment="1">
      <alignment vertical="center"/>
    </xf>
    <xf numFmtId="0" fontId="9" fillId="3" borderId="76" xfId="0" applyFont="1" applyFill="1" applyBorder="1" applyAlignment="1">
      <alignment vertical="center"/>
    </xf>
    <xf numFmtId="0" fontId="9" fillId="3" borderId="76" xfId="0" applyFont="1" applyFill="1" applyBorder="1" applyAlignment="1">
      <alignment vertical="top"/>
    </xf>
    <xf numFmtId="0" fontId="9" fillId="3" borderId="77" xfId="0" applyFont="1" applyFill="1" applyBorder="1" applyAlignment="1">
      <alignment vertical="top"/>
    </xf>
    <xf numFmtId="0" fontId="15" fillId="0" borderId="92" xfId="0" applyFont="1" applyBorder="1" applyAlignment="1">
      <alignment vertical="center"/>
    </xf>
    <xf numFmtId="0" fontId="14" fillId="0" borderId="57" xfId="0" applyFont="1" applyBorder="1" applyAlignment="1">
      <alignment vertical="center"/>
    </xf>
    <xf numFmtId="5" fontId="16" fillId="0" borderId="86" xfId="0" applyNumberFormat="1" applyFont="1" applyBorder="1" applyAlignment="1">
      <alignment vertical="center"/>
    </xf>
    <xf numFmtId="14" fontId="11" fillId="0" borderId="13" xfId="0" applyNumberFormat="1" applyFont="1" applyBorder="1" applyAlignment="1">
      <alignment vertical="center"/>
    </xf>
    <xf numFmtId="0" fontId="11" fillId="0" borderId="13" xfId="0" applyFont="1" applyBorder="1" applyAlignment="1">
      <alignment vertical="center" wrapText="1"/>
    </xf>
    <xf numFmtId="0" fontId="11" fillId="0" borderId="79" xfId="0" applyFont="1" applyBorder="1" applyAlignment="1">
      <alignment vertical="center" wrapText="1"/>
    </xf>
    <xf numFmtId="14" fontId="11" fillId="0" borderId="78" xfId="0" applyNumberFormat="1" applyFont="1" applyBorder="1" applyAlignment="1">
      <alignment vertical="center"/>
    </xf>
    <xf numFmtId="14" fontId="9" fillId="0" borderId="84" xfId="0" applyNumberFormat="1" applyFont="1" applyBorder="1" applyAlignment="1">
      <alignment horizontal="left" vertical="center"/>
    </xf>
    <xf numFmtId="0" fontId="2" fillId="0" borderId="85" xfId="0" applyFont="1" applyBorder="1" applyAlignment="1">
      <alignment vertical="center"/>
    </xf>
    <xf numFmtId="0" fontId="2" fillId="0" borderId="93" xfId="0" applyFont="1" applyBorder="1" applyAlignment="1">
      <alignment vertical="center"/>
    </xf>
    <xf numFmtId="14" fontId="9" fillId="0" borderId="94" xfId="0" applyNumberFormat="1" applyFont="1" applyBorder="1" applyAlignment="1">
      <alignment horizontal="left" vertical="center"/>
    </xf>
    <xf numFmtId="0" fontId="9" fillId="0" borderId="94" xfId="0" applyFont="1" applyBorder="1" applyAlignment="1">
      <alignment vertical="center"/>
    </xf>
    <xf numFmtId="5" fontId="9" fillId="0" borderId="95" xfId="0" applyNumberFormat="1" applyFont="1" applyBorder="1" applyAlignment="1">
      <alignment vertical="center"/>
    </xf>
    <xf numFmtId="0" fontId="2" fillId="0" borderId="99" xfId="0" applyFont="1" applyBorder="1" applyAlignment="1">
      <alignment vertical="center"/>
    </xf>
    <xf numFmtId="0" fontId="0" fillId="0" borderId="99" xfId="0" applyBorder="1" applyAlignment="1">
      <alignment vertical="center"/>
    </xf>
    <xf numFmtId="14" fontId="9" fillId="0" borderId="101" xfId="0" applyNumberFormat="1" applyFont="1" applyBorder="1" applyAlignment="1">
      <alignment horizontal="left" vertical="center"/>
    </xf>
    <xf numFmtId="0" fontId="9" fillId="0" borderId="99" xfId="0" applyFont="1" applyBorder="1" applyAlignment="1">
      <alignment vertical="center"/>
    </xf>
    <xf numFmtId="0" fontId="9" fillId="0" borderId="55" xfId="0" applyFont="1" applyBorder="1" applyAlignment="1">
      <alignment vertical="center"/>
    </xf>
    <xf numFmtId="14" fontId="9" fillId="0" borderId="102" xfId="0" applyNumberFormat="1" applyFont="1" applyBorder="1" applyAlignment="1">
      <alignment horizontal="left" vertical="center"/>
    </xf>
    <xf numFmtId="0" fontId="9" fillId="0" borderId="103" xfId="0" applyFont="1" applyBorder="1" applyAlignment="1">
      <alignment vertical="center"/>
    </xf>
    <xf numFmtId="14" fontId="9" fillId="5" borderId="73" xfId="0" applyNumberFormat="1" applyFont="1" applyFill="1" applyBorder="1" applyAlignment="1">
      <alignment vertical="center"/>
    </xf>
    <xf numFmtId="14" fontId="9" fillId="5" borderId="2" xfId="0" applyNumberFormat="1" applyFont="1" applyFill="1" applyBorder="1" applyAlignment="1">
      <alignment vertical="center"/>
    </xf>
    <xf numFmtId="14" fontId="9" fillId="5" borderId="22" xfId="0" applyNumberFormat="1" applyFont="1" applyFill="1" applyBorder="1" applyAlignment="1">
      <alignment vertical="center"/>
    </xf>
    <xf numFmtId="14" fontId="9" fillId="5" borderId="4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176" fontId="9" fillId="5" borderId="73" xfId="0" applyNumberFormat="1" applyFont="1" applyFill="1" applyBorder="1" applyAlignment="1">
      <alignment vertical="center"/>
    </xf>
    <xf numFmtId="176" fontId="9" fillId="5" borderId="2" xfId="0" applyNumberFormat="1" applyFont="1" applyFill="1" applyBorder="1" applyAlignment="1">
      <alignment vertical="center"/>
    </xf>
    <xf numFmtId="177" fontId="9" fillId="5" borderId="2" xfId="0" applyNumberFormat="1" applyFont="1" applyFill="1" applyBorder="1" applyAlignment="1">
      <alignment vertical="center"/>
    </xf>
    <xf numFmtId="14" fontId="9" fillId="5" borderId="7" xfId="0" applyNumberFormat="1" applyFont="1" applyFill="1" applyBorder="1" applyAlignment="1">
      <alignment vertical="center"/>
    </xf>
    <xf numFmtId="176" fontId="9" fillId="5" borderId="74" xfId="0" applyNumberFormat="1" applyFont="1" applyFill="1" applyBorder="1" applyAlignment="1">
      <alignment vertical="center"/>
    </xf>
    <xf numFmtId="176" fontId="9" fillId="5" borderId="50" xfId="0" applyNumberFormat="1" applyFont="1" applyFill="1" applyBorder="1" applyAlignment="1">
      <alignment vertical="center"/>
    </xf>
    <xf numFmtId="14" fontId="9" fillId="5" borderId="50" xfId="0" applyNumberFormat="1" applyFont="1" applyFill="1" applyBorder="1" applyAlignment="1">
      <alignment vertical="center"/>
    </xf>
    <xf numFmtId="14" fontId="9" fillId="5" borderId="51" xfId="0" applyNumberFormat="1" applyFont="1" applyFill="1" applyBorder="1" applyAlignment="1">
      <alignment vertical="center"/>
    </xf>
    <xf numFmtId="0" fontId="9" fillId="5" borderId="50" xfId="0" applyFont="1" applyFill="1" applyBorder="1" applyAlignment="1">
      <alignment vertical="center"/>
    </xf>
    <xf numFmtId="177" fontId="9" fillId="5" borderId="50" xfId="0" applyNumberFormat="1" applyFont="1" applyFill="1" applyBorder="1" applyAlignment="1">
      <alignment vertical="center"/>
    </xf>
    <xf numFmtId="0" fontId="9" fillId="5" borderId="15" xfId="0" applyFont="1" applyFill="1" applyBorder="1" applyAlignment="1">
      <alignment vertical="center"/>
    </xf>
    <xf numFmtId="0" fontId="9" fillId="5" borderId="16" xfId="0" applyFont="1" applyFill="1" applyBorder="1" applyAlignment="1">
      <alignment vertical="center"/>
    </xf>
    <xf numFmtId="0" fontId="9" fillId="5" borderId="17" xfId="0" applyFont="1" applyFill="1" applyBorder="1" applyAlignment="1">
      <alignment vertical="center"/>
    </xf>
    <xf numFmtId="0" fontId="9" fillId="5" borderId="18" xfId="0" applyFont="1" applyFill="1" applyBorder="1" applyAlignment="1">
      <alignment vertical="center"/>
    </xf>
    <xf numFmtId="0" fontId="9" fillId="5" borderId="19" xfId="0" applyFont="1" applyFill="1" applyBorder="1" applyAlignment="1">
      <alignment vertical="center"/>
    </xf>
    <xf numFmtId="0" fontId="9" fillId="5" borderId="20" xfId="0" applyFont="1" applyFill="1" applyBorder="1" applyAlignment="1">
      <alignment vertical="center"/>
    </xf>
    <xf numFmtId="0" fontId="9" fillId="3" borderId="96" xfId="0" applyFont="1" applyFill="1" applyBorder="1" applyAlignment="1">
      <alignment horizontal="center" vertical="center" wrapText="1"/>
    </xf>
    <xf numFmtId="0" fontId="2" fillId="0" borderId="97" xfId="0" applyFont="1" applyBorder="1" applyAlignment="1">
      <alignment vertical="center"/>
    </xf>
    <xf numFmtId="0" fontId="2" fillId="0" borderId="98" xfId="0" applyFont="1" applyBorder="1" applyAlignment="1">
      <alignment vertical="center"/>
    </xf>
    <xf numFmtId="0" fontId="9" fillId="3" borderId="6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9" fillId="3" borderId="91" xfId="0" applyFont="1" applyFill="1" applyBorder="1" applyAlignment="1">
      <alignment horizontal="center" vertical="center" wrapText="1"/>
    </xf>
    <xf numFmtId="0" fontId="2" fillId="0" borderId="81" xfId="0" applyFont="1" applyBorder="1" applyAlignment="1">
      <alignment vertical="center"/>
    </xf>
    <xf numFmtId="0" fontId="2" fillId="0" borderId="83" xfId="0" applyFont="1" applyBorder="1" applyAlignment="1">
      <alignment vertical="center"/>
    </xf>
    <xf numFmtId="0" fontId="9" fillId="0" borderId="6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9" fillId="0" borderId="67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9" fillId="0" borderId="90" xfId="0" applyFont="1" applyBorder="1" applyAlignment="1">
      <alignment horizontal="center" vertical="center"/>
    </xf>
    <xf numFmtId="0" fontId="0" fillId="0" borderId="100" xfId="0" applyBorder="1" applyAlignment="1">
      <alignment vertical="center"/>
    </xf>
    <xf numFmtId="0" fontId="2" fillId="0" borderId="86" xfId="0" applyFont="1" applyBorder="1" applyAlignment="1">
      <alignment vertical="center"/>
    </xf>
    <xf numFmtId="0" fontId="9" fillId="0" borderId="7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4" fontId="9" fillId="0" borderId="77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9" fillId="3" borderId="68" xfId="0" applyFont="1" applyFill="1" applyBorder="1" applyAlignment="1">
      <alignment horizontal="center" vertical="center"/>
    </xf>
    <xf numFmtId="0" fontId="2" fillId="0" borderId="69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9" fillId="3" borderId="66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4" fontId="9" fillId="0" borderId="75" xfId="0" applyNumberFormat="1" applyFont="1" applyBorder="1" applyAlignment="1">
      <alignment horizontal="left" vertical="center"/>
    </xf>
    <xf numFmtId="14" fontId="9" fillId="0" borderId="76" xfId="0" applyNumberFormat="1" applyFont="1" applyBorder="1" applyAlignment="1">
      <alignment horizontal="left" vertical="center"/>
    </xf>
    <xf numFmtId="0" fontId="2" fillId="0" borderId="3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9" fillId="0" borderId="65" xfId="0" applyFont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2" fillId="0" borderId="72" xfId="0" applyFont="1" applyBorder="1" applyAlignment="1">
      <alignment vertical="center"/>
    </xf>
    <xf numFmtId="14" fontId="9" fillId="0" borderId="58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center"/>
    </xf>
    <xf numFmtId="0" fontId="9" fillId="3" borderId="22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top"/>
    </xf>
    <xf numFmtId="14" fontId="9" fillId="0" borderId="4" xfId="0" applyNumberFormat="1" applyFont="1" applyBorder="1" applyAlignment="1">
      <alignment horizontal="left" vertical="center"/>
    </xf>
    <xf numFmtId="14" fontId="9" fillId="0" borderId="39" xfId="0" applyNumberFormat="1" applyFont="1" applyBorder="1" applyAlignment="1">
      <alignment horizontal="left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14" fontId="9" fillId="0" borderId="43" xfId="0" applyNumberFormat="1" applyFont="1" applyBorder="1" applyAlignment="1">
      <alignment horizontal="left"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9" fillId="3" borderId="15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9" fillId="3" borderId="22" xfId="0" applyFont="1" applyFill="1" applyBorder="1" applyAlignment="1">
      <alignment horizontal="center" vertical="center"/>
    </xf>
    <xf numFmtId="14" fontId="9" fillId="0" borderId="28" xfId="0" applyNumberFormat="1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14" fontId="9" fillId="0" borderId="11" xfId="0" applyNumberFormat="1" applyFont="1" applyBorder="1" applyAlignment="1">
      <alignment horizontal="left" vertical="center"/>
    </xf>
    <xf numFmtId="0" fontId="11" fillId="0" borderId="78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3371850</xdr:colOff>
      <xdr:row>11</xdr:row>
      <xdr:rowOff>9525</xdr:rowOff>
    </xdr:from>
    <xdr:ext cx="1466850" cy="1009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622100" y="3284700"/>
          <a:ext cx="1447800" cy="9906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16</xdr:row>
      <xdr:rowOff>30162</xdr:rowOff>
    </xdr:from>
    <xdr:ext cx="1466850" cy="966788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131050" y="4119562"/>
          <a:ext cx="1466850" cy="966788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361950</xdr:colOff>
      <xdr:row>9</xdr:row>
      <xdr:rowOff>57150</xdr:rowOff>
    </xdr:from>
    <xdr:ext cx="3390900" cy="2238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664838" y="2670338"/>
          <a:ext cx="3362325" cy="2219325"/>
        </a:xfrm>
        <a:prstGeom prst="wedgeRoundRectCallout">
          <a:avLst>
            <a:gd name="adj1" fmla="val -56496"/>
            <a:gd name="adj2" fmla="val -6437"/>
            <a:gd name="adj3" fmla="val 16667"/>
          </a:avLst>
        </a:prstGeom>
        <a:solidFill>
          <a:srgbClr val="FFFFFF"/>
        </a:solidFill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ストレージについて利用者ごと別々で申請したい場合は、それぞれの利用する方についてのリソース量をご記入下さい。</a:t>
          </a: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記入例の場合、鈴木太郎さんが責任者ですが、鈴木太郎さんに「20」、責任者でない方々の佐藤次郎さんのところにも「40」、斎藤三郎さんのところにも「30」、と記入が必要です。</a:t>
          </a: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558800</xdr:colOff>
      <xdr:row>20</xdr:row>
      <xdr:rowOff>165100</xdr:rowOff>
    </xdr:from>
    <xdr:ext cx="3457575" cy="1457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8921750" y="5067300"/>
          <a:ext cx="3457575" cy="1457325"/>
        </a:xfrm>
        <a:prstGeom prst="wedgeRoundRectCallout">
          <a:avLst>
            <a:gd name="adj1" fmla="val -56361"/>
            <a:gd name="adj2" fmla="val -49984"/>
            <a:gd name="adj3" fmla="val 16667"/>
          </a:avLst>
        </a:prstGeom>
        <a:solidFill>
          <a:srgbClr val="FFFFFF"/>
        </a:solidFill>
        <a:ln w="25400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計算ノードについては、責任者のところにまとめてリソース量合計をご記入ください。</a:t>
          </a: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記入例の場合、責任者が鈴木も太郎さんなので、鈴木太郎さんのところに「2」と記入します。</a:t>
          </a:r>
          <a:endParaRPr sz="1400"/>
        </a:p>
      </xdr:txBody>
    </xdr:sp>
    <xdr:clientData fLocksWithSheet="0"/>
  </xdr:oneCellAnchor>
  <xdr:oneCellAnchor>
    <xdr:from>
      <xdr:col>2</xdr:col>
      <xdr:colOff>285750</xdr:colOff>
      <xdr:row>22</xdr:row>
      <xdr:rowOff>38100</xdr:rowOff>
    </xdr:from>
    <xdr:ext cx="3314700" cy="1163638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ECCF0BE8-F37C-46EA-9EBE-0D51F3648C4E}"/>
            </a:ext>
          </a:extLst>
        </xdr:cNvPr>
        <xdr:cNvSpPr/>
      </xdr:nvSpPr>
      <xdr:spPr>
        <a:xfrm>
          <a:off x="1860550" y="5346700"/>
          <a:ext cx="3314700" cy="1163638"/>
        </a:xfrm>
        <a:prstGeom prst="wedgeRoundRectCallout">
          <a:avLst>
            <a:gd name="adj1" fmla="val -56361"/>
            <a:gd name="adj2" fmla="val -49984"/>
            <a:gd name="adj3" fmla="val 16667"/>
          </a:avLst>
        </a:prstGeom>
        <a:solidFill>
          <a:srgbClr val="FFFFFF"/>
        </a:solidFill>
        <a:ln w="25400" cap="flat" cmpd="sng">
          <a:solidFill>
            <a:srgbClr val="00B05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altLang="ja-JP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GPU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ノードについては、</a:t>
          </a:r>
          <a:r>
            <a:rPr lang="ja-JP" alt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利用予定時間を日数に換算してご記入ください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。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例）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日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8H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28800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秒）を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7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日間利用する場合、</a:t>
          </a:r>
          <a:endParaRPr lang="en-US" altLang="ja-JP" sz="1100" b="0" i="0">
            <a:effectLst/>
            <a:latin typeface="+mn-lt"/>
            <a:ea typeface="+mn-ea"/>
            <a:cs typeface="+mn-c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altLang="ja-JP"/>
            <a:t>56</a:t>
          </a:r>
          <a:r>
            <a:rPr lang="ja-JP" altLang="en-US"/>
            <a:t>時間</a:t>
          </a:r>
          <a:r>
            <a:rPr lang="en-US" altLang="ja-JP"/>
            <a:t>(201600</a:t>
          </a:r>
          <a:r>
            <a:rPr lang="ja-JP" altLang="en-US"/>
            <a:t>秒</a:t>
          </a:r>
          <a:r>
            <a:rPr lang="en-US" altLang="ja-JP"/>
            <a:t>)÷24</a:t>
          </a:r>
          <a:r>
            <a:rPr lang="ja-JP" altLang="en-US"/>
            <a:t>時間＝</a:t>
          </a:r>
          <a:r>
            <a:rPr lang="en-US" altLang="ja-JP"/>
            <a:t>2.3333</a:t>
          </a:r>
          <a:r>
            <a:rPr lang="ja-JP" altLang="en-US"/>
            <a:t>日</a:t>
          </a:r>
          <a:endParaRPr lang="en-US" altLang="ja-JP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/>
            <a:t>３日間（小数点以下切り上げ）</a:t>
          </a:r>
          <a:endParaRPr sz="1400"/>
        </a:p>
      </xdr:txBody>
    </xdr:sp>
    <xdr:clientData fLocksWithSheet="0"/>
  </xdr:oneCellAnchor>
  <xdr:oneCellAnchor>
    <xdr:from>
      <xdr:col>0</xdr:col>
      <xdr:colOff>11110</xdr:colOff>
      <xdr:row>20</xdr:row>
      <xdr:rowOff>152400</xdr:rowOff>
    </xdr:from>
    <xdr:ext cx="1585913" cy="307974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18B91B98-7006-4909-9C2D-11F85FC25C69}"/>
            </a:ext>
          </a:extLst>
        </xdr:cNvPr>
        <xdr:cNvSpPr/>
      </xdr:nvSpPr>
      <xdr:spPr>
        <a:xfrm>
          <a:off x="11110" y="5054600"/>
          <a:ext cx="1585913" cy="307974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5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16</xdr:row>
      <xdr:rowOff>31750</xdr:rowOff>
    </xdr:from>
    <xdr:ext cx="2076450" cy="11684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7131050" y="4121150"/>
          <a:ext cx="2076450" cy="11684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238125</xdr:colOff>
      <xdr:row>20</xdr:row>
      <xdr:rowOff>47625</xdr:rowOff>
    </xdr:from>
    <xdr:ext cx="3457575" cy="14478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626738" y="3070388"/>
          <a:ext cx="3438525" cy="1419225"/>
        </a:xfrm>
        <a:prstGeom prst="wedgeRoundRectCallout">
          <a:avLst>
            <a:gd name="adj1" fmla="val -55879"/>
            <a:gd name="adj2" fmla="val -39951"/>
            <a:gd name="adj3" fmla="val 16667"/>
          </a:avLst>
        </a:prstGeom>
        <a:solidFill>
          <a:srgbClr val="FFFFFF"/>
        </a:solidFill>
        <a:ln w="25400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計算ノードについても、責任者のところにまとめてリソース量合計をご記入ください。</a:t>
          </a: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記入例の場合、責任者が鈴木太郎さんなので、鈴木太郎さんのところに「2」と記入します。</a:t>
          </a:r>
          <a:endParaRPr sz="1400"/>
        </a:p>
      </xdr:txBody>
    </xdr:sp>
    <xdr:clientData fLocksWithSheet="0"/>
  </xdr:oneCellAnchor>
  <xdr:oneCellAnchor>
    <xdr:from>
      <xdr:col>3</xdr:col>
      <xdr:colOff>3362325</xdr:colOff>
      <xdr:row>10</xdr:row>
      <xdr:rowOff>161925</xdr:rowOff>
    </xdr:from>
    <xdr:ext cx="2076450" cy="1028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4317300" y="3275175"/>
          <a:ext cx="2057400" cy="10096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314325</xdr:colOff>
      <xdr:row>9</xdr:row>
      <xdr:rowOff>28575</xdr:rowOff>
    </xdr:from>
    <xdr:ext cx="3457575" cy="2143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3626738" y="2722725"/>
          <a:ext cx="3438525" cy="2114550"/>
        </a:xfrm>
        <a:prstGeom prst="wedgeRoundRectCallout">
          <a:avLst>
            <a:gd name="adj1" fmla="val -55879"/>
            <a:gd name="adj2" fmla="val -13284"/>
            <a:gd name="adj3" fmla="val 16667"/>
          </a:avLst>
        </a:prstGeom>
        <a:solidFill>
          <a:srgbClr val="FFFFFF"/>
        </a:solidFill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ストレージについてグループQuotaで申請したい場合は、責任者のアカウント名またはグループ名と「合計のリソース量」をご記入下さい。責任者でない方々については何も記入しないで下さい。</a:t>
          </a:r>
          <a:endParaRPr sz="1000">
            <a:solidFill>
              <a:srgbClr val="000000"/>
            </a:solidFill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>
            <a:solidFill>
              <a:srgbClr val="000000"/>
            </a:solidFill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複数のグループ名を希望される方は各グループに割り振るQuota量をそれぞれの列に記載してください。</a:t>
          </a:r>
          <a:endParaRPr sz="10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273050</xdr:colOff>
      <xdr:row>22</xdr:row>
      <xdr:rowOff>44450</xdr:rowOff>
    </xdr:from>
    <xdr:ext cx="3314700" cy="1163638"/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3C5BDD88-3C47-4E8A-818C-D7BDBD941685}"/>
            </a:ext>
          </a:extLst>
        </xdr:cNvPr>
        <xdr:cNvSpPr/>
      </xdr:nvSpPr>
      <xdr:spPr>
        <a:xfrm>
          <a:off x="1847850" y="5353050"/>
          <a:ext cx="3314700" cy="1163638"/>
        </a:xfrm>
        <a:prstGeom prst="wedgeRoundRectCallout">
          <a:avLst>
            <a:gd name="adj1" fmla="val -56361"/>
            <a:gd name="adj2" fmla="val -49984"/>
            <a:gd name="adj3" fmla="val 16667"/>
          </a:avLst>
        </a:prstGeom>
        <a:solidFill>
          <a:srgbClr val="FFFFFF"/>
        </a:solidFill>
        <a:ln w="25400" cap="flat" cmpd="sng">
          <a:solidFill>
            <a:srgbClr val="00B05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altLang="ja-JP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GPU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ノードについては、</a:t>
          </a:r>
          <a:r>
            <a:rPr lang="ja-JP" alt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利用予定時間を日数に換算してご記入ください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。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例）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日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8H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28800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秒）を</a:t>
          </a:r>
          <a:r>
            <a:rPr lang="en-US" altLang="ja-JP" sz="1100" b="0" i="0">
              <a:effectLst/>
              <a:latin typeface="+mn-lt"/>
              <a:ea typeface="+mn-ea"/>
              <a:cs typeface="+mn-cs"/>
            </a:rPr>
            <a:t>7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日間利用する場合、</a:t>
          </a:r>
          <a:endParaRPr lang="en-US" altLang="ja-JP" sz="1100" b="0" i="0">
            <a:effectLst/>
            <a:latin typeface="+mn-lt"/>
            <a:ea typeface="+mn-ea"/>
            <a:cs typeface="+mn-c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altLang="ja-JP"/>
            <a:t>56</a:t>
          </a:r>
          <a:r>
            <a:rPr lang="ja-JP" altLang="en-US"/>
            <a:t>時間</a:t>
          </a:r>
          <a:r>
            <a:rPr lang="en-US" altLang="ja-JP"/>
            <a:t>(201600</a:t>
          </a:r>
          <a:r>
            <a:rPr lang="ja-JP" altLang="en-US"/>
            <a:t>秒</a:t>
          </a:r>
          <a:r>
            <a:rPr lang="en-US" altLang="ja-JP"/>
            <a:t>)÷24</a:t>
          </a:r>
          <a:r>
            <a:rPr lang="ja-JP" altLang="en-US"/>
            <a:t>時間＝</a:t>
          </a:r>
          <a:r>
            <a:rPr lang="en-US" altLang="ja-JP"/>
            <a:t>2.3333</a:t>
          </a:r>
          <a:r>
            <a:rPr lang="ja-JP" altLang="en-US"/>
            <a:t>日</a:t>
          </a:r>
          <a:endParaRPr lang="en-US" altLang="ja-JP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/>
            <a:t>３日間（小数点以下切り上げ）</a:t>
          </a:r>
          <a:endParaRPr sz="1400"/>
        </a:p>
      </xdr:txBody>
    </xdr:sp>
    <xdr:clientData fLocksWithSheet="0"/>
  </xdr:oneCellAnchor>
  <xdr:oneCellAnchor>
    <xdr:from>
      <xdr:col>0</xdr:col>
      <xdr:colOff>12700</xdr:colOff>
      <xdr:row>20</xdr:row>
      <xdr:rowOff>152400</xdr:rowOff>
    </xdr:from>
    <xdr:ext cx="1585913" cy="307974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7C850714-F58D-4911-9000-E9A70858856D}"/>
            </a:ext>
          </a:extLst>
        </xdr:cNvPr>
        <xdr:cNvSpPr/>
      </xdr:nvSpPr>
      <xdr:spPr>
        <a:xfrm>
          <a:off x="12700" y="5054600"/>
          <a:ext cx="1585913" cy="307974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5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000"/>
  <sheetViews>
    <sheetView showGridLines="0" workbookViewId="0">
      <selection activeCell="B28" sqref="B28"/>
    </sheetView>
  </sheetViews>
  <sheetFormatPr defaultColWidth="14.44140625" defaultRowHeight="15" customHeight="1"/>
  <cols>
    <col min="1" max="1" width="6.44140625" customWidth="1"/>
    <col min="2" max="2" width="19.5546875" customWidth="1"/>
    <col min="3" max="3" width="16.44140625" customWidth="1"/>
    <col min="4" max="4" width="12" customWidth="1"/>
    <col min="5" max="5" width="13.5546875" customWidth="1"/>
    <col min="6" max="6" width="11.6640625" customWidth="1"/>
    <col min="7" max="7" width="8" customWidth="1"/>
    <col min="8" max="8" width="10.6640625" customWidth="1"/>
    <col min="9" max="10" width="7.44140625" customWidth="1"/>
    <col min="11" max="26" width="10.6640625" customWidth="1"/>
  </cols>
  <sheetData>
    <row r="1" spans="1:26" ht="12.75" customHeight="1">
      <c r="A1" s="1"/>
      <c r="B1" s="1"/>
      <c r="C1" s="1"/>
      <c r="D1" s="1"/>
      <c r="E1" s="1"/>
      <c r="F1" s="1"/>
      <c r="G1" s="2" t="s">
        <v>0</v>
      </c>
      <c r="H1" s="2" t="s">
        <v>1</v>
      </c>
      <c r="I1" s="2" t="s">
        <v>2</v>
      </c>
      <c r="J1" s="2" t="s">
        <v>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>
      <c r="A3" s="205" t="s">
        <v>5</v>
      </c>
      <c r="B3" s="200"/>
      <c r="C3" s="206"/>
      <c r="D3" s="199"/>
      <c r="E3" s="199"/>
      <c r="F3" s="199"/>
      <c r="G3" s="199"/>
      <c r="H3" s="199"/>
      <c r="I3" s="199"/>
      <c r="J3" s="20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25" customHeight="1">
      <c r="A4" s="207" t="s">
        <v>6</v>
      </c>
      <c r="B4" s="200"/>
      <c r="C4" s="206"/>
      <c r="D4" s="199"/>
      <c r="E4" s="199"/>
      <c r="F4" s="199"/>
      <c r="G4" s="199"/>
      <c r="H4" s="199"/>
      <c r="I4" s="199"/>
      <c r="J4" s="20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205" t="s">
        <v>7</v>
      </c>
      <c r="B5" s="200"/>
      <c r="C5" s="206"/>
      <c r="D5" s="199"/>
      <c r="E5" s="199"/>
      <c r="F5" s="199"/>
      <c r="G5" s="199"/>
      <c r="H5" s="199"/>
      <c r="I5" s="199"/>
      <c r="J5" s="20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205" t="s">
        <v>8</v>
      </c>
      <c r="B6" s="200"/>
      <c r="C6" s="206"/>
      <c r="D6" s="199"/>
      <c r="E6" s="199"/>
      <c r="F6" s="199"/>
      <c r="G6" s="199"/>
      <c r="H6" s="199"/>
      <c r="I6" s="199"/>
      <c r="J6" s="20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4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>
      <c r="A10" s="62"/>
      <c r="B10" s="63"/>
      <c r="C10" s="63"/>
      <c r="D10" s="63"/>
      <c r="E10" s="63"/>
      <c r="F10" s="63"/>
      <c r="G10" s="63"/>
      <c r="H10" s="63"/>
      <c r="I10" s="63"/>
      <c r="J10" s="6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9" customHeight="1">
      <c r="A12" s="210" t="s">
        <v>10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 customHeight="1">
      <c r="A13" s="5" t="s">
        <v>11</v>
      </c>
      <c r="B13" s="5" t="s">
        <v>12</v>
      </c>
      <c r="C13" s="6" t="s">
        <v>13</v>
      </c>
      <c r="D13" s="7" t="s">
        <v>14</v>
      </c>
      <c r="E13" s="8" t="s">
        <v>15</v>
      </c>
      <c r="F13" s="211" t="s">
        <v>16</v>
      </c>
      <c r="G13" s="199"/>
      <c r="H13" s="199"/>
      <c r="I13" s="199"/>
      <c r="J13" s="20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>
      <c r="A14" s="5">
        <v>1</v>
      </c>
      <c r="B14" s="6"/>
      <c r="C14" s="9"/>
      <c r="D14" s="6"/>
      <c r="E14" s="10"/>
      <c r="F14" s="212"/>
      <c r="G14" s="199"/>
      <c r="H14" s="199"/>
      <c r="I14" s="199"/>
      <c r="J14" s="20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5">
        <v>2</v>
      </c>
      <c r="B15" s="6"/>
      <c r="C15" s="9"/>
      <c r="D15" s="6"/>
      <c r="E15" s="10"/>
      <c r="F15" s="85"/>
      <c r="G15" s="63"/>
      <c r="H15" s="63"/>
      <c r="I15" s="63"/>
      <c r="J15" s="6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5">
        <v>3</v>
      </c>
      <c r="B16" s="6"/>
      <c r="C16" s="9"/>
      <c r="D16" s="6"/>
      <c r="E16" s="10"/>
      <c r="F16" s="85"/>
      <c r="G16" s="63"/>
      <c r="H16" s="63"/>
      <c r="I16" s="63"/>
      <c r="J16" s="6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5">
        <v>4</v>
      </c>
      <c r="B17" s="6"/>
      <c r="C17" s="9"/>
      <c r="D17" s="6"/>
      <c r="E17" s="10"/>
      <c r="F17" s="85"/>
      <c r="G17" s="63"/>
      <c r="H17" s="63"/>
      <c r="I17" s="63"/>
      <c r="J17" s="6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5">
        <v>5</v>
      </c>
      <c r="B18" s="6"/>
      <c r="C18" s="9"/>
      <c r="D18" s="6"/>
      <c r="E18" s="10"/>
      <c r="F18" s="85"/>
      <c r="G18" s="63"/>
      <c r="H18" s="63"/>
      <c r="I18" s="63"/>
      <c r="J18" s="6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>
      <c r="A19" s="5">
        <v>6</v>
      </c>
      <c r="B19" s="6"/>
      <c r="C19" s="9"/>
      <c r="D19" s="6"/>
      <c r="E19" s="10"/>
      <c r="F19" s="85"/>
      <c r="G19" s="63"/>
      <c r="H19" s="63"/>
      <c r="I19" s="63"/>
      <c r="J19" s="6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>
      <c r="A20" s="5">
        <v>7</v>
      </c>
      <c r="B20" s="6"/>
      <c r="C20" s="9"/>
      <c r="D20" s="6"/>
      <c r="E20" s="10"/>
      <c r="F20" s="85"/>
      <c r="G20" s="63"/>
      <c r="H20" s="63"/>
      <c r="I20" s="63"/>
      <c r="J20" s="6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>
      <c r="A21" s="5">
        <v>8</v>
      </c>
      <c r="B21" s="6"/>
      <c r="C21" s="9"/>
      <c r="D21" s="6"/>
      <c r="E21" s="10"/>
      <c r="F21" s="212"/>
      <c r="G21" s="199"/>
      <c r="H21" s="199"/>
      <c r="I21" s="199"/>
      <c r="J21" s="20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>
      <c r="A22" s="5">
        <v>9</v>
      </c>
      <c r="B22" s="6"/>
      <c r="C22" s="9"/>
      <c r="D22" s="9"/>
      <c r="E22" s="10"/>
      <c r="F22" s="85"/>
      <c r="G22" s="63"/>
      <c r="H22" s="63"/>
      <c r="I22" s="63"/>
      <c r="J22" s="6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5">
        <v>10</v>
      </c>
      <c r="B23" s="7"/>
      <c r="C23" s="9"/>
      <c r="D23" s="9"/>
      <c r="E23" s="10"/>
      <c r="F23" s="85"/>
      <c r="G23" s="63"/>
      <c r="H23" s="63"/>
      <c r="I23" s="63"/>
      <c r="J23" s="6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>
      <c r="A24" s="5">
        <v>11</v>
      </c>
      <c r="B24" s="6"/>
      <c r="C24" s="6"/>
      <c r="D24" s="6"/>
      <c r="E24" s="10"/>
      <c r="F24" s="212"/>
      <c r="G24" s="199"/>
      <c r="H24" s="199"/>
      <c r="I24" s="199"/>
      <c r="J24" s="20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>
      <c r="A25" s="5">
        <v>12</v>
      </c>
      <c r="B25" s="6"/>
      <c r="C25" s="6"/>
      <c r="D25" s="6"/>
      <c r="E25" s="10"/>
      <c r="F25" s="85"/>
      <c r="G25" s="63"/>
      <c r="H25" s="63"/>
      <c r="I25" s="63"/>
      <c r="J25" s="6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>
      <c r="A26" s="5">
        <v>13</v>
      </c>
      <c r="B26" s="7"/>
      <c r="C26" s="6"/>
      <c r="D26" s="6"/>
      <c r="E26" s="10"/>
      <c r="F26" s="85"/>
      <c r="G26" s="63"/>
      <c r="H26" s="63"/>
      <c r="I26" s="63"/>
      <c r="J26" s="6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>
      <c r="A27" s="5">
        <v>14</v>
      </c>
      <c r="B27" s="7"/>
      <c r="C27" s="6"/>
      <c r="D27" s="6"/>
      <c r="E27" s="10"/>
      <c r="F27" s="85"/>
      <c r="G27" s="63"/>
      <c r="H27" s="63"/>
      <c r="I27" s="63"/>
      <c r="J27" s="6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9.4" customHeight="1">
      <c r="A28" s="5">
        <v>15</v>
      </c>
      <c r="B28" s="6"/>
      <c r="C28" s="6"/>
      <c r="D28" s="6"/>
      <c r="E28" s="10"/>
      <c r="F28" s="85"/>
      <c r="G28" s="63"/>
      <c r="H28" s="63"/>
      <c r="I28" s="63"/>
      <c r="J28" s="6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.4" customHeight="1">
      <c r="A29" s="5">
        <v>16</v>
      </c>
      <c r="B29" s="6"/>
      <c r="C29" s="6"/>
      <c r="D29" s="6"/>
      <c r="E29" s="10"/>
      <c r="F29" s="212"/>
      <c r="G29" s="199"/>
      <c r="H29" s="199"/>
      <c r="I29" s="199"/>
      <c r="J29" s="20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 t="s">
        <v>17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208"/>
      <c r="B32" s="190"/>
      <c r="C32" s="190"/>
      <c r="D32" s="190"/>
      <c r="E32" s="190"/>
      <c r="F32" s="190"/>
      <c r="G32" s="190"/>
      <c r="H32" s="190"/>
      <c r="I32" s="190"/>
      <c r="J32" s="19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87"/>
      <c r="B33" s="209"/>
      <c r="C33" s="209"/>
      <c r="D33" s="209"/>
      <c r="E33" s="209"/>
      <c r="F33" s="209"/>
      <c r="G33" s="209"/>
      <c r="H33" s="209"/>
      <c r="I33" s="209"/>
      <c r="J33" s="17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87"/>
      <c r="B34" s="209"/>
      <c r="C34" s="209"/>
      <c r="D34" s="209"/>
      <c r="E34" s="209"/>
      <c r="F34" s="209"/>
      <c r="G34" s="209"/>
      <c r="H34" s="209"/>
      <c r="I34" s="209"/>
      <c r="J34" s="17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87"/>
      <c r="B35" s="209"/>
      <c r="C35" s="209"/>
      <c r="D35" s="209"/>
      <c r="E35" s="209"/>
      <c r="F35" s="209"/>
      <c r="G35" s="209"/>
      <c r="H35" s="209"/>
      <c r="I35" s="209"/>
      <c r="J35" s="17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87"/>
      <c r="B36" s="209"/>
      <c r="C36" s="209"/>
      <c r="D36" s="209"/>
      <c r="E36" s="209"/>
      <c r="F36" s="209"/>
      <c r="G36" s="209"/>
      <c r="H36" s="209"/>
      <c r="I36" s="209"/>
      <c r="J36" s="17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87"/>
      <c r="B37" s="209"/>
      <c r="C37" s="209"/>
      <c r="D37" s="209"/>
      <c r="E37" s="209"/>
      <c r="F37" s="209"/>
      <c r="G37" s="209"/>
      <c r="H37" s="209"/>
      <c r="I37" s="209"/>
      <c r="J37" s="17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87"/>
      <c r="B38" s="209"/>
      <c r="C38" s="209"/>
      <c r="D38" s="209"/>
      <c r="E38" s="209"/>
      <c r="F38" s="209"/>
      <c r="G38" s="209"/>
      <c r="H38" s="209"/>
      <c r="I38" s="209"/>
      <c r="J38" s="17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87"/>
      <c r="B39" s="209"/>
      <c r="C39" s="209"/>
      <c r="D39" s="209"/>
      <c r="E39" s="209"/>
      <c r="F39" s="209"/>
      <c r="G39" s="209"/>
      <c r="H39" s="209"/>
      <c r="I39" s="209"/>
      <c r="J39" s="17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87"/>
      <c r="B40" s="209"/>
      <c r="C40" s="209"/>
      <c r="D40" s="209"/>
      <c r="E40" s="209"/>
      <c r="F40" s="209"/>
      <c r="G40" s="209"/>
      <c r="H40" s="209"/>
      <c r="I40" s="209"/>
      <c r="J40" s="17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87"/>
      <c r="B41" s="209"/>
      <c r="C41" s="209"/>
      <c r="D41" s="209"/>
      <c r="E41" s="209"/>
      <c r="F41" s="209"/>
      <c r="G41" s="209"/>
      <c r="H41" s="209"/>
      <c r="I41" s="209"/>
      <c r="J41" s="17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87"/>
      <c r="B42" s="209"/>
      <c r="C42" s="209"/>
      <c r="D42" s="209"/>
      <c r="E42" s="209"/>
      <c r="F42" s="209"/>
      <c r="G42" s="209"/>
      <c r="H42" s="209"/>
      <c r="I42" s="209"/>
      <c r="J42" s="17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87"/>
      <c r="B43" s="209"/>
      <c r="C43" s="209"/>
      <c r="D43" s="209"/>
      <c r="E43" s="209"/>
      <c r="F43" s="209"/>
      <c r="G43" s="209"/>
      <c r="H43" s="209"/>
      <c r="I43" s="209"/>
      <c r="J43" s="17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87"/>
      <c r="B44" s="209"/>
      <c r="C44" s="209"/>
      <c r="D44" s="209"/>
      <c r="E44" s="209"/>
      <c r="F44" s="209"/>
      <c r="G44" s="209"/>
      <c r="H44" s="209"/>
      <c r="I44" s="209"/>
      <c r="J44" s="17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87"/>
      <c r="B45" s="209"/>
      <c r="C45" s="209"/>
      <c r="D45" s="209"/>
      <c r="E45" s="209"/>
      <c r="F45" s="209"/>
      <c r="G45" s="209"/>
      <c r="H45" s="209"/>
      <c r="I45" s="209"/>
      <c r="J45" s="17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87"/>
      <c r="B46" s="209"/>
      <c r="C46" s="209"/>
      <c r="D46" s="209"/>
      <c r="E46" s="209"/>
      <c r="F46" s="209"/>
      <c r="G46" s="209"/>
      <c r="H46" s="209"/>
      <c r="I46" s="209"/>
      <c r="J46" s="17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87"/>
      <c r="B47" s="209"/>
      <c r="C47" s="209"/>
      <c r="D47" s="209"/>
      <c r="E47" s="209"/>
      <c r="F47" s="209"/>
      <c r="G47" s="209"/>
      <c r="H47" s="209"/>
      <c r="I47" s="209"/>
      <c r="J47" s="17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87"/>
      <c r="B48" s="209"/>
      <c r="C48" s="209"/>
      <c r="D48" s="209"/>
      <c r="E48" s="209"/>
      <c r="F48" s="209"/>
      <c r="G48" s="209"/>
      <c r="H48" s="209"/>
      <c r="I48" s="209"/>
      <c r="J48" s="17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87"/>
      <c r="B49" s="209"/>
      <c r="C49" s="209"/>
      <c r="D49" s="209"/>
      <c r="E49" s="209"/>
      <c r="F49" s="209"/>
      <c r="G49" s="209"/>
      <c r="H49" s="209"/>
      <c r="I49" s="209"/>
      <c r="J49" s="17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87"/>
      <c r="B50" s="209"/>
      <c r="C50" s="209"/>
      <c r="D50" s="209"/>
      <c r="E50" s="209"/>
      <c r="F50" s="209"/>
      <c r="G50" s="209"/>
      <c r="H50" s="209"/>
      <c r="I50" s="209"/>
      <c r="J50" s="17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87"/>
      <c r="B51" s="209"/>
      <c r="C51" s="209"/>
      <c r="D51" s="209"/>
      <c r="E51" s="209"/>
      <c r="F51" s="209"/>
      <c r="G51" s="209"/>
      <c r="H51" s="209"/>
      <c r="I51" s="209"/>
      <c r="J51" s="17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87"/>
      <c r="B52" s="209"/>
      <c r="C52" s="209"/>
      <c r="D52" s="209"/>
      <c r="E52" s="209"/>
      <c r="F52" s="209"/>
      <c r="G52" s="209"/>
      <c r="H52" s="209"/>
      <c r="I52" s="209"/>
      <c r="J52" s="17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87"/>
      <c r="B53" s="209"/>
      <c r="C53" s="209"/>
      <c r="D53" s="209"/>
      <c r="E53" s="209"/>
      <c r="F53" s="209"/>
      <c r="G53" s="209"/>
      <c r="H53" s="209"/>
      <c r="I53" s="209"/>
      <c r="J53" s="17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88"/>
      <c r="B54" s="182"/>
      <c r="C54" s="182"/>
      <c r="D54" s="182"/>
      <c r="E54" s="182"/>
      <c r="F54" s="182"/>
      <c r="G54" s="182"/>
      <c r="H54" s="182"/>
      <c r="I54" s="182"/>
      <c r="J54" s="17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 t="s">
        <v>18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208"/>
      <c r="B57" s="190"/>
      <c r="C57" s="190"/>
      <c r="D57" s="190"/>
      <c r="E57" s="190"/>
      <c r="F57" s="190"/>
      <c r="G57" s="190"/>
      <c r="H57" s="190"/>
      <c r="I57" s="190"/>
      <c r="J57" s="19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87"/>
      <c r="B58" s="209"/>
      <c r="C58" s="209"/>
      <c r="D58" s="209"/>
      <c r="E58" s="209"/>
      <c r="F58" s="209"/>
      <c r="G58" s="209"/>
      <c r="H58" s="209"/>
      <c r="I58" s="209"/>
      <c r="J58" s="17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87"/>
      <c r="B59" s="209"/>
      <c r="C59" s="209"/>
      <c r="D59" s="209"/>
      <c r="E59" s="209"/>
      <c r="F59" s="209"/>
      <c r="G59" s="209"/>
      <c r="H59" s="209"/>
      <c r="I59" s="209"/>
      <c r="J59" s="17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87"/>
      <c r="B60" s="209"/>
      <c r="C60" s="209"/>
      <c r="D60" s="209"/>
      <c r="E60" s="209"/>
      <c r="F60" s="209"/>
      <c r="G60" s="209"/>
      <c r="H60" s="209"/>
      <c r="I60" s="209"/>
      <c r="J60" s="17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87"/>
      <c r="B61" s="209"/>
      <c r="C61" s="209"/>
      <c r="D61" s="209"/>
      <c r="E61" s="209"/>
      <c r="F61" s="209"/>
      <c r="G61" s="209"/>
      <c r="H61" s="209"/>
      <c r="I61" s="209"/>
      <c r="J61" s="17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87"/>
      <c r="B62" s="209"/>
      <c r="C62" s="209"/>
      <c r="D62" s="209"/>
      <c r="E62" s="209"/>
      <c r="F62" s="209"/>
      <c r="G62" s="209"/>
      <c r="H62" s="209"/>
      <c r="I62" s="209"/>
      <c r="J62" s="17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87"/>
      <c r="B63" s="209"/>
      <c r="C63" s="209"/>
      <c r="D63" s="209"/>
      <c r="E63" s="209"/>
      <c r="F63" s="209"/>
      <c r="G63" s="209"/>
      <c r="H63" s="209"/>
      <c r="I63" s="209"/>
      <c r="J63" s="17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87"/>
      <c r="B64" s="209"/>
      <c r="C64" s="209"/>
      <c r="D64" s="209"/>
      <c r="E64" s="209"/>
      <c r="F64" s="209"/>
      <c r="G64" s="209"/>
      <c r="H64" s="209"/>
      <c r="I64" s="209"/>
      <c r="J64" s="17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87"/>
      <c r="B65" s="209"/>
      <c r="C65" s="209"/>
      <c r="D65" s="209"/>
      <c r="E65" s="209"/>
      <c r="F65" s="209"/>
      <c r="G65" s="209"/>
      <c r="H65" s="209"/>
      <c r="I65" s="209"/>
      <c r="J65" s="17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87"/>
      <c r="B66" s="209"/>
      <c r="C66" s="209"/>
      <c r="D66" s="209"/>
      <c r="E66" s="209"/>
      <c r="F66" s="209"/>
      <c r="G66" s="209"/>
      <c r="H66" s="209"/>
      <c r="I66" s="209"/>
      <c r="J66" s="17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87"/>
      <c r="B67" s="209"/>
      <c r="C67" s="209"/>
      <c r="D67" s="209"/>
      <c r="E67" s="209"/>
      <c r="F67" s="209"/>
      <c r="G67" s="209"/>
      <c r="H67" s="209"/>
      <c r="I67" s="209"/>
      <c r="J67" s="17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87"/>
      <c r="B68" s="209"/>
      <c r="C68" s="209"/>
      <c r="D68" s="209"/>
      <c r="E68" s="209"/>
      <c r="F68" s="209"/>
      <c r="G68" s="209"/>
      <c r="H68" s="209"/>
      <c r="I68" s="209"/>
      <c r="J68" s="17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87"/>
      <c r="B69" s="209"/>
      <c r="C69" s="209"/>
      <c r="D69" s="209"/>
      <c r="E69" s="209"/>
      <c r="F69" s="209"/>
      <c r="G69" s="209"/>
      <c r="H69" s="209"/>
      <c r="I69" s="209"/>
      <c r="J69" s="17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87"/>
      <c r="B70" s="209"/>
      <c r="C70" s="209"/>
      <c r="D70" s="209"/>
      <c r="E70" s="209"/>
      <c r="F70" s="209"/>
      <c r="G70" s="209"/>
      <c r="H70" s="209"/>
      <c r="I70" s="209"/>
      <c r="J70" s="17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87"/>
      <c r="B71" s="209"/>
      <c r="C71" s="209"/>
      <c r="D71" s="209"/>
      <c r="E71" s="209"/>
      <c r="F71" s="209"/>
      <c r="G71" s="209"/>
      <c r="H71" s="209"/>
      <c r="I71" s="209"/>
      <c r="J71" s="17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87"/>
      <c r="B72" s="209"/>
      <c r="C72" s="209"/>
      <c r="D72" s="209"/>
      <c r="E72" s="209"/>
      <c r="F72" s="209"/>
      <c r="G72" s="209"/>
      <c r="H72" s="209"/>
      <c r="I72" s="209"/>
      <c r="J72" s="17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87"/>
      <c r="B73" s="209"/>
      <c r="C73" s="209"/>
      <c r="D73" s="209"/>
      <c r="E73" s="209"/>
      <c r="F73" s="209"/>
      <c r="G73" s="209"/>
      <c r="H73" s="209"/>
      <c r="I73" s="209"/>
      <c r="J73" s="17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87"/>
      <c r="B74" s="209"/>
      <c r="C74" s="209"/>
      <c r="D74" s="209"/>
      <c r="E74" s="209"/>
      <c r="F74" s="209"/>
      <c r="G74" s="209"/>
      <c r="H74" s="209"/>
      <c r="I74" s="209"/>
      <c r="J74" s="17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87"/>
      <c r="B75" s="209"/>
      <c r="C75" s="209"/>
      <c r="D75" s="209"/>
      <c r="E75" s="209"/>
      <c r="F75" s="209"/>
      <c r="G75" s="209"/>
      <c r="H75" s="209"/>
      <c r="I75" s="209"/>
      <c r="J75" s="17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87"/>
      <c r="B76" s="209"/>
      <c r="C76" s="209"/>
      <c r="D76" s="209"/>
      <c r="E76" s="209"/>
      <c r="F76" s="209"/>
      <c r="G76" s="209"/>
      <c r="H76" s="209"/>
      <c r="I76" s="209"/>
      <c r="J76" s="17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87"/>
      <c r="B77" s="209"/>
      <c r="C77" s="209"/>
      <c r="D77" s="209"/>
      <c r="E77" s="209"/>
      <c r="F77" s="209"/>
      <c r="G77" s="209"/>
      <c r="H77" s="209"/>
      <c r="I77" s="209"/>
      <c r="J77" s="17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87"/>
      <c r="B78" s="209"/>
      <c r="C78" s="209"/>
      <c r="D78" s="209"/>
      <c r="E78" s="209"/>
      <c r="F78" s="209"/>
      <c r="G78" s="209"/>
      <c r="H78" s="209"/>
      <c r="I78" s="209"/>
      <c r="J78" s="17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87"/>
      <c r="B79" s="209"/>
      <c r="C79" s="209"/>
      <c r="D79" s="209"/>
      <c r="E79" s="209"/>
      <c r="F79" s="209"/>
      <c r="G79" s="209"/>
      <c r="H79" s="209"/>
      <c r="I79" s="209"/>
      <c r="J79" s="17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88"/>
      <c r="B80" s="182"/>
      <c r="C80" s="182"/>
      <c r="D80" s="182"/>
      <c r="E80" s="182"/>
      <c r="F80" s="182"/>
      <c r="G80" s="182"/>
      <c r="H80" s="182"/>
      <c r="I80" s="182"/>
      <c r="J80" s="17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 t="s">
        <v>19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208"/>
      <c r="B84" s="190"/>
      <c r="C84" s="190"/>
      <c r="D84" s="190"/>
      <c r="E84" s="190"/>
      <c r="F84" s="190"/>
      <c r="G84" s="190"/>
      <c r="H84" s="190"/>
      <c r="I84" s="190"/>
      <c r="J84" s="19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87"/>
      <c r="B85" s="209"/>
      <c r="C85" s="209"/>
      <c r="D85" s="209"/>
      <c r="E85" s="209"/>
      <c r="F85" s="209"/>
      <c r="G85" s="209"/>
      <c r="H85" s="209"/>
      <c r="I85" s="209"/>
      <c r="J85" s="17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87"/>
      <c r="B86" s="209"/>
      <c r="C86" s="209"/>
      <c r="D86" s="209"/>
      <c r="E86" s="209"/>
      <c r="F86" s="209"/>
      <c r="G86" s="209"/>
      <c r="H86" s="209"/>
      <c r="I86" s="209"/>
      <c r="J86" s="17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87"/>
      <c r="B87" s="209"/>
      <c r="C87" s="209"/>
      <c r="D87" s="209"/>
      <c r="E87" s="209"/>
      <c r="F87" s="209"/>
      <c r="G87" s="209"/>
      <c r="H87" s="209"/>
      <c r="I87" s="209"/>
      <c r="J87" s="17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87"/>
      <c r="B88" s="209"/>
      <c r="C88" s="209"/>
      <c r="D88" s="209"/>
      <c r="E88" s="209"/>
      <c r="F88" s="209"/>
      <c r="G88" s="209"/>
      <c r="H88" s="209"/>
      <c r="I88" s="209"/>
      <c r="J88" s="17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87"/>
      <c r="B89" s="209"/>
      <c r="C89" s="209"/>
      <c r="D89" s="209"/>
      <c r="E89" s="209"/>
      <c r="F89" s="209"/>
      <c r="G89" s="209"/>
      <c r="H89" s="209"/>
      <c r="I89" s="209"/>
      <c r="J89" s="17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87"/>
      <c r="B90" s="209"/>
      <c r="C90" s="209"/>
      <c r="D90" s="209"/>
      <c r="E90" s="209"/>
      <c r="F90" s="209"/>
      <c r="G90" s="209"/>
      <c r="H90" s="209"/>
      <c r="I90" s="209"/>
      <c r="J90" s="17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87"/>
      <c r="B91" s="209"/>
      <c r="C91" s="209"/>
      <c r="D91" s="209"/>
      <c r="E91" s="209"/>
      <c r="F91" s="209"/>
      <c r="G91" s="209"/>
      <c r="H91" s="209"/>
      <c r="I91" s="209"/>
      <c r="J91" s="17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87"/>
      <c r="B92" s="209"/>
      <c r="C92" s="209"/>
      <c r="D92" s="209"/>
      <c r="E92" s="209"/>
      <c r="F92" s="209"/>
      <c r="G92" s="209"/>
      <c r="H92" s="209"/>
      <c r="I92" s="209"/>
      <c r="J92" s="17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87"/>
      <c r="B93" s="209"/>
      <c r="C93" s="209"/>
      <c r="D93" s="209"/>
      <c r="E93" s="209"/>
      <c r="F93" s="209"/>
      <c r="G93" s="209"/>
      <c r="H93" s="209"/>
      <c r="I93" s="209"/>
      <c r="J93" s="17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87"/>
      <c r="B94" s="209"/>
      <c r="C94" s="209"/>
      <c r="D94" s="209"/>
      <c r="E94" s="209"/>
      <c r="F94" s="209"/>
      <c r="G94" s="209"/>
      <c r="H94" s="209"/>
      <c r="I94" s="209"/>
      <c r="J94" s="17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87"/>
      <c r="B95" s="209"/>
      <c r="C95" s="209"/>
      <c r="D95" s="209"/>
      <c r="E95" s="209"/>
      <c r="F95" s="209"/>
      <c r="G95" s="209"/>
      <c r="H95" s="209"/>
      <c r="I95" s="209"/>
      <c r="J95" s="17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87"/>
      <c r="B96" s="209"/>
      <c r="C96" s="209"/>
      <c r="D96" s="209"/>
      <c r="E96" s="209"/>
      <c r="F96" s="209"/>
      <c r="G96" s="209"/>
      <c r="H96" s="209"/>
      <c r="I96" s="209"/>
      <c r="J96" s="17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87"/>
      <c r="B97" s="209"/>
      <c r="C97" s="209"/>
      <c r="D97" s="209"/>
      <c r="E97" s="209"/>
      <c r="F97" s="209"/>
      <c r="G97" s="209"/>
      <c r="H97" s="209"/>
      <c r="I97" s="209"/>
      <c r="J97" s="17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87"/>
      <c r="B98" s="209"/>
      <c r="C98" s="209"/>
      <c r="D98" s="209"/>
      <c r="E98" s="209"/>
      <c r="F98" s="209"/>
      <c r="G98" s="209"/>
      <c r="H98" s="209"/>
      <c r="I98" s="209"/>
      <c r="J98" s="17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87"/>
      <c r="B99" s="209"/>
      <c r="C99" s="209"/>
      <c r="D99" s="209"/>
      <c r="E99" s="209"/>
      <c r="F99" s="209"/>
      <c r="G99" s="209"/>
      <c r="H99" s="209"/>
      <c r="I99" s="209"/>
      <c r="J99" s="17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87"/>
      <c r="B100" s="209"/>
      <c r="C100" s="209"/>
      <c r="D100" s="209"/>
      <c r="E100" s="209"/>
      <c r="F100" s="209"/>
      <c r="G100" s="209"/>
      <c r="H100" s="209"/>
      <c r="I100" s="209"/>
      <c r="J100" s="17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87"/>
      <c r="B101" s="209"/>
      <c r="C101" s="209"/>
      <c r="D101" s="209"/>
      <c r="E101" s="209"/>
      <c r="F101" s="209"/>
      <c r="G101" s="209"/>
      <c r="H101" s="209"/>
      <c r="I101" s="209"/>
      <c r="J101" s="17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87"/>
      <c r="B102" s="209"/>
      <c r="C102" s="209"/>
      <c r="D102" s="209"/>
      <c r="E102" s="209"/>
      <c r="F102" s="209"/>
      <c r="G102" s="209"/>
      <c r="H102" s="209"/>
      <c r="I102" s="209"/>
      <c r="J102" s="17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87"/>
      <c r="B103" s="209"/>
      <c r="C103" s="209"/>
      <c r="D103" s="209"/>
      <c r="E103" s="209"/>
      <c r="F103" s="209"/>
      <c r="G103" s="209"/>
      <c r="H103" s="209"/>
      <c r="I103" s="209"/>
      <c r="J103" s="17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87"/>
      <c r="B104" s="209"/>
      <c r="C104" s="209"/>
      <c r="D104" s="209"/>
      <c r="E104" s="209"/>
      <c r="F104" s="209"/>
      <c r="G104" s="209"/>
      <c r="H104" s="209"/>
      <c r="I104" s="209"/>
      <c r="J104" s="17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87"/>
      <c r="B105" s="209"/>
      <c r="C105" s="209"/>
      <c r="D105" s="209"/>
      <c r="E105" s="209"/>
      <c r="F105" s="209"/>
      <c r="G105" s="209"/>
      <c r="H105" s="209"/>
      <c r="I105" s="209"/>
      <c r="J105" s="17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88"/>
      <c r="B106" s="182"/>
      <c r="C106" s="182"/>
      <c r="D106" s="182"/>
      <c r="E106" s="182"/>
      <c r="F106" s="182"/>
      <c r="G106" s="182"/>
      <c r="H106" s="182"/>
      <c r="I106" s="182"/>
      <c r="J106" s="17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">
    <mergeCell ref="A6:B6"/>
    <mergeCell ref="A32:J54"/>
    <mergeCell ref="A57:J80"/>
    <mergeCell ref="A84:J106"/>
    <mergeCell ref="C6:J6"/>
    <mergeCell ref="A12:J12"/>
    <mergeCell ref="F13:J13"/>
    <mergeCell ref="F14:J14"/>
    <mergeCell ref="F21:J21"/>
    <mergeCell ref="F24:J24"/>
    <mergeCell ref="F29:J29"/>
    <mergeCell ref="A3:B3"/>
    <mergeCell ref="C3:J3"/>
    <mergeCell ref="A4:B4"/>
    <mergeCell ref="C4:J4"/>
    <mergeCell ref="A5:B5"/>
    <mergeCell ref="C5:J5"/>
  </mergeCells>
  <phoneticPr fontId="13"/>
  <pageMargins left="0.25" right="0.25" top="0.75" bottom="0.75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Y1000"/>
  <sheetViews>
    <sheetView showGridLines="0" tabSelected="1" zoomScaleNormal="100" workbookViewId="0">
      <selection activeCell="C23" sqref="C23"/>
    </sheetView>
  </sheetViews>
  <sheetFormatPr defaultColWidth="14.44140625" defaultRowHeight="15" customHeight="1"/>
  <cols>
    <col min="1" max="1" width="16.33203125" customWidth="1"/>
    <col min="2" max="2" width="17.33203125" customWidth="1"/>
    <col min="3" max="3" width="35.33203125" bestFit="1" customWidth="1"/>
    <col min="4" max="4" width="45.33203125" customWidth="1"/>
    <col min="5" max="14" width="8.5546875" customWidth="1"/>
    <col min="15" max="15" width="17.44140625" customWidth="1"/>
    <col min="16" max="20" width="0.109375" customWidth="1"/>
    <col min="21" max="21" width="17.44140625" customWidth="1"/>
    <col min="22" max="23" width="15.33203125" customWidth="1"/>
    <col min="24" max="24" width="7.109375" customWidth="1"/>
    <col min="25" max="25" width="16.88671875" customWidth="1"/>
  </cols>
  <sheetData>
    <row r="1" spans="1:25" ht="51" customHeight="1">
      <c r="A1" s="117">
        <v>2026</v>
      </c>
      <c r="B1" s="118" t="s">
        <v>20</v>
      </c>
      <c r="C1" s="119"/>
      <c r="D1" s="120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21"/>
    </row>
    <row r="2" spans="1:25" ht="45" customHeight="1">
      <c r="A2" s="122" t="s">
        <v>21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114"/>
    </row>
    <row r="3" spans="1:25" ht="19.5" customHeight="1">
      <c r="A3" s="12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114"/>
    </row>
    <row r="4" spans="1:25" ht="19.5" customHeight="1">
      <c r="A4" s="124" t="s">
        <v>22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114"/>
    </row>
    <row r="5" spans="1:25" ht="19.5" customHeight="1">
      <c r="A5" s="124" t="s">
        <v>23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114"/>
    </row>
    <row r="6" spans="1:25" ht="19.5" customHeight="1">
      <c r="A6" s="124" t="s">
        <v>24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115"/>
    </row>
    <row r="7" spans="1:25" ht="19.5" customHeight="1">
      <c r="A7" s="125" t="s">
        <v>25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39"/>
      <c r="U7" s="93"/>
      <c r="V7" s="93"/>
      <c r="W7" s="116"/>
    </row>
    <row r="8" spans="1:25" ht="15.75" customHeight="1">
      <c r="A8" s="201" t="s">
        <v>26</v>
      </c>
      <c r="B8" s="176" t="s">
        <v>27</v>
      </c>
      <c r="C8" s="176" t="s">
        <v>28</v>
      </c>
      <c r="D8" s="179" t="s">
        <v>29</v>
      </c>
      <c r="E8" s="192" t="s">
        <v>30</v>
      </c>
      <c r="F8" s="193"/>
      <c r="G8" s="193"/>
      <c r="H8" s="193"/>
      <c r="I8" s="193"/>
      <c r="J8" s="193"/>
      <c r="K8" s="193"/>
      <c r="L8" s="193"/>
      <c r="M8" s="193"/>
      <c r="N8" s="194"/>
      <c r="O8" s="195" t="s">
        <v>31</v>
      </c>
      <c r="P8" s="186" t="s">
        <v>32</v>
      </c>
      <c r="Q8" s="180" t="s">
        <v>31</v>
      </c>
      <c r="R8" s="180" t="s">
        <v>33</v>
      </c>
      <c r="S8" s="180" t="s">
        <v>34</v>
      </c>
      <c r="T8" s="183" t="s">
        <v>35</v>
      </c>
      <c r="U8" s="167" t="s">
        <v>109</v>
      </c>
      <c r="V8" s="170" t="s">
        <v>110</v>
      </c>
      <c r="W8" s="173" t="s">
        <v>111</v>
      </c>
      <c r="X8" s="102"/>
      <c r="Y8" s="28"/>
    </row>
    <row r="9" spans="1:25" ht="15.75" customHeight="1">
      <c r="A9" s="202"/>
      <c r="B9" s="177"/>
      <c r="C9" s="177"/>
      <c r="D9" s="171"/>
      <c r="E9" s="196" t="s">
        <v>12</v>
      </c>
      <c r="F9" s="182"/>
      <c r="G9" s="182"/>
      <c r="H9" s="182"/>
      <c r="I9" s="182"/>
      <c r="J9" s="182"/>
      <c r="K9" s="182"/>
      <c r="L9" s="182"/>
      <c r="M9" s="182"/>
      <c r="N9" s="172"/>
      <c r="O9" s="177"/>
      <c r="P9" s="187"/>
      <c r="Q9" s="181"/>
      <c r="R9" s="181"/>
      <c r="S9" s="181"/>
      <c r="T9" s="184"/>
      <c r="U9" s="168"/>
      <c r="V9" s="171"/>
      <c r="W9" s="174"/>
    </row>
    <row r="10" spans="1:25" ht="15.75" customHeight="1">
      <c r="A10" s="202"/>
      <c r="B10" s="177"/>
      <c r="C10" s="177"/>
      <c r="D10" s="171"/>
      <c r="E10" s="161"/>
      <c r="F10" s="161"/>
      <c r="G10" s="161"/>
      <c r="H10" s="161"/>
      <c r="I10" s="161"/>
      <c r="J10" s="162"/>
      <c r="K10" s="162"/>
      <c r="L10" s="163"/>
      <c r="M10" s="162"/>
      <c r="N10" s="162"/>
      <c r="O10" s="177"/>
      <c r="P10" s="187"/>
      <c r="Q10" s="181"/>
      <c r="R10" s="181"/>
      <c r="S10" s="181"/>
      <c r="T10" s="184"/>
      <c r="U10" s="168"/>
      <c r="V10" s="171"/>
      <c r="W10" s="174"/>
    </row>
    <row r="11" spans="1:25" ht="15.75" customHeight="1">
      <c r="A11" s="203"/>
      <c r="B11" s="178"/>
      <c r="C11" s="178"/>
      <c r="D11" s="172"/>
      <c r="E11" s="164"/>
      <c r="F11" s="164"/>
      <c r="G11" s="164"/>
      <c r="H11" s="164"/>
      <c r="I11" s="164"/>
      <c r="J11" s="165"/>
      <c r="K11" s="165"/>
      <c r="L11" s="166"/>
      <c r="M11" s="165"/>
      <c r="N11" s="165"/>
      <c r="O11" s="178"/>
      <c r="P11" s="188"/>
      <c r="Q11" s="182"/>
      <c r="R11" s="182"/>
      <c r="S11" s="182"/>
      <c r="T11" s="185"/>
      <c r="U11" s="169"/>
      <c r="V11" s="172"/>
      <c r="W11" s="175"/>
    </row>
    <row r="12" spans="1:25" ht="19.5" customHeight="1">
      <c r="A12" s="146">
        <v>46113</v>
      </c>
      <c r="B12" s="147">
        <v>46477</v>
      </c>
      <c r="C12" s="148" t="s">
        <v>40</v>
      </c>
      <c r="D12" s="149" t="s">
        <v>41</v>
      </c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25" t="str">
        <f>IF(
 AND(SUM(E12:N12)&gt;0,OR(C12=Sheet1!$A$1,C12=Sheet1!$A$2)),
 CONCATENATE(SUM(E12:N12),"TB"),
 IF(
  AND(SUM(E12:N12)&gt;0,OR(C12=Sheet1!$A$6,C12=Sheet1!$A$3,C12=Sheet1!$A$7,C12=Sheet1!$A$4),D12=Sheet1!$B$31),
  CONCATENATE(SUM(E12:N12),"台"),
  IF(
   AND(
    SUM(E12:N12)&gt;0,
    OR(C12=Sheet1!$A$6,C12=Sheet1!$A$3,C12=Sheet1!$A$7,C12=Sheet1!$A$4,C12=Sheet1!$A$5),
    OR(D12=Sheet1!$B$25,D12=Sheet1!$B$26,D12=Sheet1!$B$27,D12=Sheet1!$B$28,D12=Sheet1!$B$29,D12=Sheet1!$B$30)
   ),
   CONCATENATE(SUM(E12:N12),"単位"),
   ""
  )
 )
)</f>
        <v/>
      </c>
      <c r="P12" s="67" t="str">
        <f t="shared" ref="P12:P26" si="0">C12&amp;D12</f>
        <v>ストレージ大規模利用_一般解析区画Quota設定のみ</v>
      </c>
      <c r="Q12" s="68">
        <f t="shared" ref="Q12:Q26" si="1">SUM(E12:N12)</f>
        <v>0</v>
      </c>
      <c r="R12" s="68">
        <f t="shared" ref="R12:R26" si="2">IF(AND($A12&lt;=DATE(年,4,1),$B12&gt;=DATE(年,7,31)),DATEDIF(DATE(年,4,1),DATE(年,7,31),"d")+1,IF(AND($A12&gt;DATE(年,4,1),$A12&lt;=DATE(年,7,31),$B12&gt;=DATE(年,7,31)),DATEDIF($A12,DATE(年,7,31),"d")+1,IF(AND($A12&lt;=DATE(年,4,1),$B12&gt;=DATE(年,4,1),$B12&lt;=DATE(年,7,31)),DATEDIF(DATE(年,4,1),$B12,"d")+1,IF(AND($A12&gt;=DATE(年,4,1),$A12&lt;=DATE(年,7,31),$B12&gt;=DATE(年,4,1),$B12&lt;=DATE(年,7,31)),DATEDIF(A12,B12,"d")+1,0))))</f>
        <v>122</v>
      </c>
      <c r="S12" s="68">
        <f t="shared" ref="S12:S26" si="3">IF(AND($A12&lt;=DATE(年,8,1),$B12&gt;=DATE(年,11,30)),DATEDIF(DATE(年,8,1),DATE(年,11,30),"d")+1,IF(AND($A12&gt;DATE(年,8,1),$A12&lt;=DATE(年,11,30),$B12&gt;=DATE(年,11,30)),DATEDIF($A12,DATE(年,11,30),"d")+1,IF(AND($A12&lt;=DATE(年,8,1),$B12&gt;=DATE(年,8,1),$B12&lt;=DATE(年,11,30)),DATEDIF(DATE(年,8,1),$B12,"d")+1,IF(AND($A12&gt;=DATE(年,8,1),$A12&lt;=DATE(年,11,30),$B12&gt;=DATE(年,8,1),$B12&lt;=DATE(年,11,30)),DATEDIF($A12,$B12,"d")+1,0))))</f>
        <v>122</v>
      </c>
      <c r="T12" s="92">
        <f t="shared" ref="T12:T26" si="4">IF(AND($A12&lt;=DATE(年,12,1),$B12&gt;=DATE(年+1,3,31)),DATEDIF(DATE(年,12,1),DATE(年+1,3,31),"d")+1,IF(AND($A12&gt;DATE(年,12,1),$A12&lt;=DATE(年+1,3,31),$B12&gt;=DATE(年+1,3,31)),DATEDIF($A12,DATE(年+1,3,31),"d")+1,IF(AND($A12&lt;=DATE(年,12,1),$B12&gt;=DATE(年,12,1),$B12&lt;=DATE(年+1,3,31)),DATEDIF(DATE(年,12,1),$B12,"d")+1,IF(AND(A12&gt;=DATE(年,12,1),$A12&lt;=DATE(年+1,3,31),$B12&gt;=DATE(年,12,1),$B12&lt;=DATE(年+1,3,31)),DATEDIF($A12,$B12,"d")+1,0))))</f>
        <v>121</v>
      </c>
      <c r="U12" s="70">
        <f t="shared" ref="U12:U26" si="5">IF(
 AND($P12=ストレージ一般解析Quota設定のみ,$Q12&lt;=30),0,IF(
  AND($P12=ストレージ一般解析Quota設定のみ,$Q12&gt;30),ROUNDDOWN(ROUNDDOWN(ROUNDUP($Q12/10,0)*ストレージ一般解析Quota設定のみ単価*(R12/年間日数),0)*消費税,0),IF(
   AND($P12=ストレージ個人ゲノムQuota設定のみ),ROUNDDOWN(ROUNDDOWN(ROUNDUP($Q12/10,0)*ストレージ個人ゲノムQuota設定のみ単価*(R12/年間日数),0)*消費税,0),IF(
    $D12=CPU1_,ROUNDDOWN(ROUNDDOWN(($Q12*CPU1単価*R12/30),0)*消費税,0),IF(
     $D12=CPU2_,ROUNDDOWN(ROUNDDOWN(($Q12*CPU2単価*R12/30),0)*消費税,0),IF(
      $D12=Mem1_,ROUNDDOWN(ROUNDDOWN(($Q12*Mem1単価*R12/30),0)*消費税,0),IF(
       $D12=Mem2_,ROUNDDOWN(ROUNDDOWN(($Q12*Mem2単価*R12/30),0)*消費税,0),IF(
        $D12=Acc1_,ROUNDDOWN(ROUNDDOWN(($Q12*Acc1単価*R12/30),0)*消費税,0),IF(
         $D12=Acc2_,ROUNDDOWN(ROUNDDOWN(($Q12*Acc2単価*R12/30),0)*消費税,0),IF(
          $D12=Acc3_,ROUNDDOWN(ROUNDDOWN(($Q12*Acc3単価*R12/30),0)*消費税,0),""
         )
        )
       )
      )
     )
    )
   )
  )
 )
)</f>
        <v>0</v>
      </c>
      <c r="V12" s="70">
        <f t="shared" ref="V12:V26" si="6">IF(
 AND($P12=ストレージ一般解析Quota設定のみ,$Q12&lt;=30),0,IF(
  AND($P12=ストレージ一般解析Quota設定のみ,$Q12&gt;30),ROUNDDOWN(ROUNDDOWN(ROUNDUP($Q12/10,0)*ストレージ一般解析Quota設定のみ単価*(S12/年間日数),0)*消費税,0),IF(
   AND($P12=ストレージ個人ゲノムQuota設定のみ),ROUNDDOWN(ROUNDDOWN(ROUNDUP($Q12/10,0)*ストレージ個人ゲノムQuota設定のみ単価*(S12/年間日数),0)*消費税,0),IF(
    $D12=CPU1_,ROUNDDOWN(ROUNDDOWN(($Q12*CPU1単価*S12/30),0)*消費税,0),IF(
     $D12=CPU2_,ROUNDDOWN(ROUNDDOWN(($Q12*CPU2単価*S12/30),0)*消費税,0),IF(
      $D12=Mem1_,ROUNDDOWN(ROUNDDOWN(($Q12*Mem1単価*S12/30),0)*消費税,0),IF(
       $D12=Mem2_,ROUNDDOWN(ROUNDDOWN(($Q12*Mem2単価*S12/30),0)*消費税,0),IF(
        $D12=Acc1_,ROUNDDOWN(ROUNDDOWN(($Q12*Acc1単価*S12/30),0)*消費税,0),IF(
         $D12=Acc2_,ROUNDDOWN(ROUNDDOWN(($Q12*Acc2単価*S12/30),0)*消費税,0),IF(
          $D12=Acc3_,ROUNDDOWN(ROUNDDOWN(($Q12*Acc3単価*S12/30),0)*消費税,0),""
         )
        )
       )
      )
     )
    )
   )
  )
 )
)</f>
        <v>0</v>
      </c>
      <c r="W12" s="70">
        <f t="shared" ref="W12:W26" si="7">IF(
 AND($P12=ストレージ一般解析Quota設定のみ,$Q12&lt;=30),0,IF(
  AND($P12=ストレージ一般解析Quota設定のみ,$Q12&gt;30),ROUNDDOWN(ROUNDDOWN(ROUNDUP($Q12/10,0)*ストレージ一般解析Quota設定のみ単価*(T12/年間日数),0)*消費税,0),IF(
   AND($P12=ストレージ個人ゲノムQuota設定のみ),ROUNDDOWN(ROUNDDOWN(ROUNDUP($Q12/10,0)*ストレージ個人ゲノムQuota設定のみ単価*(T12/年間日数),0)*消費税,0),IF(
    $D12=CPU1_,ROUNDDOWN(ROUNDDOWN(($Q12*CPU1単価*T12/30),0)*消費税,0),IF(
     $D12=CPU2_,ROUNDDOWN(ROUNDDOWN(($Q12*CPU2単価*T12/30),0)*消費税,0),IF(
      $D12=Mem1_,ROUNDDOWN(ROUNDDOWN(($Q12*Mem1単価*T12/30),0)*消費税,0),IF(
       $D12=Mem2_,ROUNDDOWN(ROUNDDOWN(($Q12*Mem2単価*T12/30),0)*消費税,0),IF(
        $D12=Acc1_,ROUNDDOWN(ROUNDDOWN(($Q12*Acc1単価*T12/30),0)*消費税,0),IF(
         $D12=Acc2_,ROUNDDOWN(ROUNDDOWN(($Q12*Acc2単価*T12/30),0)*消費税,0),IF(
          $D12=Acc3_,ROUNDDOWN(ROUNDDOWN(($Q12*Acc3単価*T12/30),0)*消費税,0),""
         )
        )
       )
      )
     )
    )
   )
  )
 )
)</f>
        <v>0</v>
      </c>
    </row>
    <row r="13" spans="1:25" ht="19.5" customHeight="1">
      <c r="A13" s="146"/>
      <c r="B13" s="147"/>
      <c r="C13" s="148"/>
      <c r="D13" s="149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25" t="str">
        <f>IF(
 AND(SUM(E13:N13)&gt;0,OR(C13=Sheet1!$A$1,C13=Sheet1!$A$2)),
 CONCATENATE(SUM(E13:N13),"TB"),
 IF(
  AND(SUM(E13:N13)&gt;0,OR(C13=Sheet1!$A$6,C13=Sheet1!$A$3,C13=Sheet1!$A$7,C13=Sheet1!$A$4),D13=Sheet1!$B$31),
  CONCATENATE(SUM(E13:N13),"台"),
  IF(
   AND(
    SUM(E13:N13)&gt;0,
    OR(C13=Sheet1!$A$6,C13=Sheet1!$A$3,C13=Sheet1!$A$7,C13=Sheet1!$A$4,C13=Sheet1!$A$5),
    OR(D13=Sheet1!$B$25,D13=Sheet1!$B$26,D13=Sheet1!$B$27,D13=Sheet1!$B$28,D13=Sheet1!$B$29,D13=Sheet1!$B$30)
   ),
   CONCATENATE(SUM(E13:N13),"単位"),
   ""
  )
 )
)</f>
        <v/>
      </c>
      <c r="P13" s="67" t="str">
        <f t="shared" si="0"/>
        <v/>
      </c>
      <c r="Q13" s="68">
        <f t="shared" si="1"/>
        <v>0</v>
      </c>
      <c r="R13" s="68">
        <f t="shared" si="2"/>
        <v>0</v>
      </c>
      <c r="S13" s="68">
        <f t="shared" si="3"/>
        <v>0</v>
      </c>
      <c r="T13" s="68">
        <f t="shared" si="4"/>
        <v>0</v>
      </c>
      <c r="U13" s="70" t="str">
        <f t="shared" si="5"/>
        <v/>
      </c>
      <c r="V13" s="70" t="str">
        <f t="shared" si="6"/>
        <v/>
      </c>
      <c r="W13" s="70" t="str">
        <f t="shared" si="7"/>
        <v/>
      </c>
    </row>
    <row r="14" spans="1:25" ht="19.5" customHeight="1">
      <c r="A14" s="146"/>
      <c r="B14" s="147"/>
      <c r="C14" s="148"/>
      <c r="D14" s="149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25" t="str">
        <f>IF(
 AND(SUM(E14:N14)&gt;0,OR(C14=Sheet1!$A$1,C14=Sheet1!$A$2)),
 CONCATENATE(SUM(E14:N14),"TB"),
 IF(
  AND(SUM(E14:N14)&gt;0,OR(C14=Sheet1!$A$6,C14=Sheet1!$A$3,C14=Sheet1!$A$7,C14=Sheet1!$A$4),D14=Sheet1!$B$31),
  CONCATENATE(SUM(E14:N14),"台"),
  IF(
   AND(
    SUM(E14:N14)&gt;0,
    OR(C14=Sheet1!$A$6,C14=Sheet1!$A$3,C14=Sheet1!$A$7,C14=Sheet1!$A$4,C14=Sheet1!$A$5),
    OR(D14=Sheet1!$B$25,D14=Sheet1!$B$26,D14=Sheet1!$B$27,D14=Sheet1!$B$28,D14=Sheet1!$B$29,D14=Sheet1!$B$30)
   ),
   CONCATENATE(SUM(E14:N14),"単位"),
   ""
  )
 )
)</f>
        <v/>
      </c>
      <c r="P14" s="67" t="str">
        <f t="shared" si="0"/>
        <v/>
      </c>
      <c r="Q14" s="108">
        <f t="shared" si="1"/>
        <v>0</v>
      </c>
      <c r="R14" s="68">
        <f t="shared" si="2"/>
        <v>0</v>
      </c>
      <c r="S14" s="68">
        <f t="shared" si="3"/>
        <v>0</v>
      </c>
      <c r="T14" s="68">
        <f t="shared" si="4"/>
        <v>0</v>
      </c>
      <c r="U14" s="70" t="str">
        <f t="shared" si="5"/>
        <v/>
      </c>
      <c r="V14" s="70" t="str">
        <f t="shared" si="6"/>
        <v/>
      </c>
      <c r="W14" s="70" t="str">
        <f t="shared" si="7"/>
        <v/>
      </c>
    </row>
    <row r="15" spans="1:25" ht="19.5" customHeight="1">
      <c r="A15" s="146"/>
      <c r="B15" s="147"/>
      <c r="C15" s="148"/>
      <c r="D15" s="149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5" t="str">
        <f>IF(
 AND(SUM(E15:N15)&gt;0,OR(C15=Sheet1!$A$1,C15=Sheet1!$A$2)),
 CONCATENATE(SUM(E15:N15),"TB"),
 IF(
  AND(SUM(E15:N15)&gt;0,OR(C15=Sheet1!$A$6,C15=Sheet1!$A$3,C15=Sheet1!$A$7,C15=Sheet1!$A$4),D15=Sheet1!$B$31),
  CONCATENATE(SUM(E15:N15),"台"),
  IF(
   AND(
    SUM(E15:N15)&gt;0,
    OR(C15=Sheet1!$A$6,C15=Sheet1!$A$3,C15=Sheet1!$A$7,C15=Sheet1!$A$4,C15=Sheet1!$A$5),
    OR(D15=Sheet1!$B$25,D15=Sheet1!$B$26,D15=Sheet1!$B$27,D15=Sheet1!$B$28,D15=Sheet1!$B$29,D15=Sheet1!$B$30)
   ),
   CONCATENATE(SUM(E15:N15),"単位"),
   ""
  )
 )
)</f>
        <v/>
      </c>
      <c r="P15" s="67" t="str">
        <f t="shared" si="0"/>
        <v/>
      </c>
      <c r="Q15" s="68">
        <f t="shared" si="1"/>
        <v>0</v>
      </c>
      <c r="R15" s="68">
        <f t="shared" si="2"/>
        <v>0</v>
      </c>
      <c r="S15" s="68">
        <f t="shared" si="3"/>
        <v>0</v>
      </c>
      <c r="T15" s="68">
        <f t="shared" si="4"/>
        <v>0</v>
      </c>
      <c r="U15" s="70" t="str">
        <f t="shared" si="5"/>
        <v/>
      </c>
      <c r="V15" s="70" t="str">
        <f t="shared" si="6"/>
        <v/>
      </c>
      <c r="W15" s="70" t="str">
        <f t="shared" si="7"/>
        <v/>
      </c>
    </row>
    <row r="16" spans="1:25" ht="19.5" customHeight="1">
      <c r="A16" s="146"/>
      <c r="B16" s="147"/>
      <c r="C16" s="147"/>
      <c r="D16" s="149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25" t="str">
        <f>IF(
 AND(SUM(E16:N16)&gt;0,OR(C16=Sheet1!$A$1,C16=Sheet1!$A$2)),
 CONCATENATE(SUM(E16:N16),"TB"),
 IF(
  AND(SUM(E16:N16)&gt;0,OR(C16=Sheet1!$A$6,C16=Sheet1!$A$3,C16=Sheet1!$A$7,C16=Sheet1!$A$4),D16=Sheet1!$B$31),
  CONCATENATE(SUM(E16:N16),"台"),
  IF(
   AND(
    SUM(E16:N16)&gt;0,
    OR(C16=Sheet1!$A$6,C16=Sheet1!$A$3,C16=Sheet1!$A$7,C16=Sheet1!$A$4,C16=Sheet1!$A$5),
    OR(D16=Sheet1!$B$25,D16=Sheet1!$B$26,D16=Sheet1!$B$27,D16=Sheet1!$B$28,D16=Sheet1!$B$29,D16=Sheet1!$B$30)
   ),
   CONCATENATE(SUM(E16:N16),"単位"),
   ""
  )
 )
)</f>
        <v/>
      </c>
      <c r="P16" s="67" t="str">
        <f t="shared" si="0"/>
        <v/>
      </c>
      <c r="Q16" s="108">
        <f t="shared" si="1"/>
        <v>0</v>
      </c>
      <c r="R16" s="68">
        <f t="shared" si="2"/>
        <v>0</v>
      </c>
      <c r="S16" s="68">
        <f t="shared" si="3"/>
        <v>0</v>
      </c>
      <c r="T16" s="68">
        <f t="shared" si="4"/>
        <v>0</v>
      </c>
      <c r="U16" s="70" t="str">
        <f t="shared" si="5"/>
        <v/>
      </c>
      <c r="V16" s="70" t="str">
        <f t="shared" si="6"/>
        <v/>
      </c>
      <c r="W16" s="70" t="str">
        <f t="shared" si="7"/>
        <v/>
      </c>
    </row>
    <row r="17" spans="1:23" ht="19.5" customHeight="1">
      <c r="A17" s="151"/>
      <c r="B17" s="152"/>
      <c r="C17" s="148"/>
      <c r="D17" s="149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25" t="str">
        <f>IF(
 AND(SUM(E17:N17)&gt;0,OR(C17=Sheet1!$A$1,C17=Sheet1!$A$2)),
 CONCATENATE(SUM(E17:N17),"TB"),
 IF(
  AND(SUM(E17:N17)&gt;0,OR(C17=Sheet1!$A$6,C17=Sheet1!$A$3,C17=Sheet1!$A$7,C17=Sheet1!$A$4),D17=Sheet1!$B$31),
  CONCATENATE(SUM(E17:N17),"台"),
  IF(
   AND(
    SUM(E17:N17)&gt;0,
    OR(C17=Sheet1!$A$6,C17=Sheet1!$A$3,C17=Sheet1!$A$7,C17=Sheet1!$A$4,C17=Sheet1!$A$5),
    OR(D17=Sheet1!$B$25,D17=Sheet1!$B$26,D17=Sheet1!$B$27,D17=Sheet1!$B$28,D17=Sheet1!$B$29,D17=Sheet1!$B$30)
   ),
   CONCATENATE(SUM(E17:N17),"単位"),
   ""
  )
 )
)</f>
        <v/>
      </c>
      <c r="P17" s="67" t="str">
        <f t="shared" si="0"/>
        <v/>
      </c>
      <c r="Q17" s="68">
        <f t="shared" si="1"/>
        <v>0</v>
      </c>
      <c r="R17" s="68">
        <f t="shared" si="2"/>
        <v>0</v>
      </c>
      <c r="S17" s="68">
        <f t="shared" si="3"/>
        <v>0</v>
      </c>
      <c r="T17" s="68">
        <f t="shared" si="4"/>
        <v>0</v>
      </c>
      <c r="U17" s="70" t="str">
        <f t="shared" si="5"/>
        <v/>
      </c>
      <c r="V17" s="70" t="str">
        <f t="shared" si="6"/>
        <v/>
      </c>
      <c r="W17" s="70" t="str">
        <f t="shared" si="7"/>
        <v/>
      </c>
    </row>
    <row r="18" spans="1:23" ht="19.5" customHeight="1">
      <c r="A18" s="151"/>
      <c r="B18" s="152"/>
      <c r="C18" s="148"/>
      <c r="D18" s="149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25" t="str">
        <f>IF(
 AND(SUM(E18:N18)&gt;0,OR(C18=Sheet1!$A$1,C18=Sheet1!$A$2)),
 CONCATENATE(SUM(E18:N18),"TB"),
 IF(
  AND(SUM(E18:N18)&gt;0,OR(C18=Sheet1!$A$6,C18=Sheet1!$A$3,C18=Sheet1!$A$7,C18=Sheet1!$A$4),D18=Sheet1!$B$31),
  CONCATENATE(SUM(E18:N18),"台"),
  IF(
   AND(
    SUM(E18:N18)&gt;0,
    OR(C18=Sheet1!$A$6,C18=Sheet1!$A$3,C18=Sheet1!$A$7,C18=Sheet1!$A$4,C18=Sheet1!$A$5),
    OR(D18=Sheet1!$B$25,D18=Sheet1!$B$26,D18=Sheet1!$B$27,D18=Sheet1!$B$28,D18=Sheet1!$B$29,D18=Sheet1!$B$30)
   ),
   CONCATENATE(SUM(E18:N18),"単位"),
   ""
  )
 )
)</f>
        <v/>
      </c>
      <c r="P18" s="67" t="str">
        <f t="shared" si="0"/>
        <v/>
      </c>
      <c r="Q18" s="108">
        <f t="shared" si="1"/>
        <v>0</v>
      </c>
      <c r="R18" s="68">
        <f t="shared" si="2"/>
        <v>0</v>
      </c>
      <c r="S18" s="68">
        <f t="shared" si="3"/>
        <v>0</v>
      </c>
      <c r="T18" s="68">
        <f t="shared" si="4"/>
        <v>0</v>
      </c>
      <c r="U18" s="70" t="str">
        <f t="shared" si="5"/>
        <v/>
      </c>
      <c r="V18" s="70" t="str">
        <f t="shared" si="6"/>
        <v/>
      </c>
      <c r="W18" s="70" t="str">
        <f t="shared" si="7"/>
        <v/>
      </c>
    </row>
    <row r="19" spans="1:23" ht="19.5" customHeight="1">
      <c r="A19" s="151"/>
      <c r="B19" s="152"/>
      <c r="C19" s="148"/>
      <c r="D19" s="149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25" t="str">
        <f>IF(
 AND(SUM(E19:N19)&gt;0,OR(C19=Sheet1!$A$1,C19=Sheet1!$A$2)),
 CONCATENATE(SUM(E19:N19),"TB"),
 IF(
  AND(SUM(E19:N19)&gt;0,OR(C19=Sheet1!$A$6,C19=Sheet1!$A$3,C19=Sheet1!$A$7,C19=Sheet1!$A$4),D19=Sheet1!$B$31),
  CONCATENATE(SUM(E19:N19),"台"),
  IF(
   AND(
    SUM(E19:N19)&gt;0,
    OR(C19=Sheet1!$A$6,C19=Sheet1!$A$3,C19=Sheet1!$A$7,C19=Sheet1!$A$4,C19=Sheet1!$A$5),
    OR(D19=Sheet1!$B$25,D19=Sheet1!$B$26,D19=Sheet1!$B$27,D19=Sheet1!$B$28,D19=Sheet1!$B$29,D19=Sheet1!$B$30)
   ),
   CONCATENATE(SUM(E19:N19),"単位"),
   ""
  )
 )
)</f>
        <v/>
      </c>
      <c r="P19" s="67" t="str">
        <f t="shared" si="0"/>
        <v/>
      </c>
      <c r="Q19" s="68">
        <f t="shared" si="1"/>
        <v>0</v>
      </c>
      <c r="R19" s="68">
        <f t="shared" si="2"/>
        <v>0</v>
      </c>
      <c r="S19" s="68">
        <f t="shared" si="3"/>
        <v>0</v>
      </c>
      <c r="T19" s="68">
        <f t="shared" si="4"/>
        <v>0</v>
      </c>
      <c r="U19" s="70" t="str">
        <f t="shared" si="5"/>
        <v/>
      </c>
      <c r="V19" s="70" t="str">
        <f t="shared" si="6"/>
        <v/>
      </c>
      <c r="W19" s="70" t="str">
        <f t="shared" si="7"/>
        <v/>
      </c>
    </row>
    <row r="20" spans="1:23" ht="19.5" customHeight="1">
      <c r="A20" s="151"/>
      <c r="B20" s="152"/>
      <c r="C20" s="148"/>
      <c r="D20" s="149"/>
      <c r="E20" s="150"/>
      <c r="F20" s="153"/>
      <c r="G20" s="153"/>
      <c r="H20" s="153"/>
      <c r="I20" s="153"/>
      <c r="J20" s="153"/>
      <c r="K20" s="153"/>
      <c r="L20" s="153"/>
      <c r="M20" s="153"/>
      <c r="N20" s="153"/>
      <c r="O20" s="25" t="str">
        <f>IF(
 AND(SUM(E20:N20)&gt;0,OR(C20=Sheet1!$A$1,C20=Sheet1!$A$2)),
 CONCATENATE(SUM(E20:N20),"TB"),
 IF(
  AND(SUM(E20:N20)&gt;0,OR(C20=Sheet1!$A$6,C20=Sheet1!$A$3,C20=Sheet1!$A$7,C20=Sheet1!$A$4),D20=Sheet1!$B$31),
  CONCATENATE(SUM(E20:N20),"台"),
  IF(
   AND(
    SUM(E20:N20)&gt;0,
    OR(C20=Sheet1!$A$6,C20=Sheet1!$A$3,C20=Sheet1!$A$7,C20=Sheet1!$A$4,C20=Sheet1!$A$5),
    OR(D20=Sheet1!$B$25,D20=Sheet1!$B$26,D20=Sheet1!$B$27,D20=Sheet1!$B$28,D20=Sheet1!$B$29,D20=Sheet1!$B$30)
   ),
   CONCATENATE(SUM(E20:N20),"単位"),
   ""
  )
 )
)</f>
        <v/>
      </c>
      <c r="P20" s="67" t="str">
        <f t="shared" si="0"/>
        <v/>
      </c>
      <c r="Q20" s="108">
        <f t="shared" si="1"/>
        <v>0</v>
      </c>
      <c r="R20" s="68">
        <f t="shared" si="2"/>
        <v>0</v>
      </c>
      <c r="S20" s="68">
        <f t="shared" si="3"/>
        <v>0</v>
      </c>
      <c r="T20" s="68">
        <f t="shared" si="4"/>
        <v>0</v>
      </c>
      <c r="U20" s="70" t="str">
        <f t="shared" si="5"/>
        <v/>
      </c>
      <c r="V20" s="70" t="str">
        <f t="shared" si="6"/>
        <v/>
      </c>
      <c r="W20" s="70" t="str">
        <f t="shared" si="7"/>
        <v/>
      </c>
    </row>
    <row r="21" spans="1:23" ht="19.5" customHeight="1">
      <c r="A21" s="151"/>
      <c r="B21" s="152"/>
      <c r="C21" s="148"/>
      <c r="D21" s="149"/>
      <c r="E21" s="150"/>
      <c r="F21" s="153"/>
      <c r="G21" s="153"/>
      <c r="H21" s="153"/>
      <c r="I21" s="153"/>
      <c r="J21" s="153"/>
      <c r="K21" s="153"/>
      <c r="L21" s="153"/>
      <c r="M21" s="153"/>
      <c r="N21" s="153"/>
      <c r="O21" s="25" t="str">
        <f>IF(
 AND(SUM(E21:N21)&gt;0,OR(C21=Sheet1!$A$1,C21=Sheet1!$A$2)),
 CONCATENATE(SUM(E21:N21),"TB"),
 IF(
  AND(SUM(E21:N21)&gt;0,OR(C21=Sheet1!$A$6,C21=Sheet1!$A$3,C21=Sheet1!$A$7,C21=Sheet1!$A$4),D21=Sheet1!$B$31),
  CONCATENATE(SUM(E21:N21),"台"),
  IF(
   AND(
    SUM(E21:N21)&gt;0,
    OR(C21=Sheet1!$A$6,C21=Sheet1!$A$3,C21=Sheet1!$A$7,C21=Sheet1!$A$4,C21=Sheet1!$A$5),
    OR(D21=Sheet1!$B$25,D21=Sheet1!$B$26,D21=Sheet1!$B$27,D21=Sheet1!$B$28,D21=Sheet1!$B$29,D21=Sheet1!$B$30)
   ),
   CONCATENATE(SUM(E21:N21),"単位"),
   ""
  )
 )
)</f>
        <v/>
      </c>
      <c r="P21" s="67" t="str">
        <f t="shared" si="0"/>
        <v/>
      </c>
      <c r="Q21" s="68">
        <f t="shared" si="1"/>
        <v>0</v>
      </c>
      <c r="R21" s="68">
        <f t="shared" si="2"/>
        <v>0</v>
      </c>
      <c r="S21" s="68">
        <f t="shared" si="3"/>
        <v>0</v>
      </c>
      <c r="T21" s="68">
        <f t="shared" si="4"/>
        <v>0</v>
      </c>
      <c r="U21" s="70" t="str">
        <f t="shared" si="5"/>
        <v/>
      </c>
      <c r="V21" s="70" t="str">
        <f t="shared" si="6"/>
        <v/>
      </c>
      <c r="W21" s="70" t="str">
        <f t="shared" si="7"/>
        <v/>
      </c>
    </row>
    <row r="22" spans="1:23" ht="19.5" customHeight="1">
      <c r="A22" s="151"/>
      <c r="B22" s="152"/>
      <c r="C22" s="148"/>
      <c r="D22" s="149"/>
      <c r="E22" s="150"/>
      <c r="F22" s="150"/>
      <c r="G22" s="153"/>
      <c r="H22" s="150"/>
      <c r="I22" s="153"/>
      <c r="J22" s="150"/>
      <c r="K22" s="153"/>
      <c r="L22" s="150"/>
      <c r="M22" s="153"/>
      <c r="N22" s="150"/>
      <c r="O22" s="25" t="str">
        <f>IF(
 AND(SUM(E22:N22)&gt;0,OR(C22=Sheet1!$A$1,C22=Sheet1!$A$2)),
 CONCATENATE(SUM(E22:N22),"TB"),
 IF(
  AND(SUM(E22:N22)&gt;0,OR(C22=Sheet1!$A$6,C22=Sheet1!$A$3,C22=Sheet1!$A$7,C22=Sheet1!$A$4),D22=Sheet1!$B$31),
  CONCATENATE(SUM(E22:N22),"台"),
  IF(
   AND(
    SUM(E22:N22)&gt;0,
    OR(C22=Sheet1!$A$6,C22=Sheet1!$A$3,C22=Sheet1!$A$7,C22=Sheet1!$A$4,C22=Sheet1!$A$5),
    OR(D22=Sheet1!$B$25,D22=Sheet1!$B$26,D22=Sheet1!$B$27,D22=Sheet1!$B$28,D22=Sheet1!$B$29,D22=Sheet1!$B$30)
   ),
   CONCATENATE(SUM(E22:N22),"単位"),
   ""
  )
 )
)</f>
        <v/>
      </c>
      <c r="P22" s="67" t="str">
        <f t="shared" si="0"/>
        <v/>
      </c>
      <c r="Q22" s="108">
        <f t="shared" si="1"/>
        <v>0</v>
      </c>
      <c r="R22" s="68">
        <f t="shared" si="2"/>
        <v>0</v>
      </c>
      <c r="S22" s="68">
        <f t="shared" si="3"/>
        <v>0</v>
      </c>
      <c r="T22" s="68">
        <f t="shared" si="4"/>
        <v>0</v>
      </c>
      <c r="U22" s="70" t="str">
        <f t="shared" si="5"/>
        <v/>
      </c>
      <c r="V22" s="70" t="str">
        <f t="shared" si="6"/>
        <v/>
      </c>
      <c r="W22" s="70" t="str">
        <f t="shared" si="7"/>
        <v/>
      </c>
    </row>
    <row r="23" spans="1:23" ht="19.5" customHeight="1">
      <c r="A23" s="151"/>
      <c r="B23" s="152"/>
      <c r="C23" s="148"/>
      <c r="D23" s="149"/>
      <c r="E23" s="150"/>
      <c r="F23" s="153"/>
      <c r="G23" s="153"/>
      <c r="H23" s="153"/>
      <c r="I23" s="153"/>
      <c r="J23" s="153"/>
      <c r="K23" s="153"/>
      <c r="L23" s="153"/>
      <c r="M23" s="153"/>
      <c r="N23" s="153"/>
      <c r="O23" s="25" t="str">
        <f>IF(
 AND(SUM(E23:N23)&gt;0,OR(C23=Sheet1!$A$1,C23=Sheet1!$A$2)),
 CONCATENATE(SUM(E23:N23),"TB"),
 IF(
  AND(SUM(E23:N23)&gt;0,OR(C23=Sheet1!$A$6,C23=Sheet1!$A$3,C23=Sheet1!$A$7,C23=Sheet1!$A$4),D23=Sheet1!$B$31),
  CONCATENATE(SUM(E23:N23),"台"),
  IF(
   AND(
    SUM(E23:N23)&gt;0,
    OR(C23=Sheet1!$A$6,C23=Sheet1!$A$3,C23=Sheet1!$A$7,C23=Sheet1!$A$4,C23=Sheet1!$A$5),
    OR(D23=Sheet1!$B$25,D23=Sheet1!$B$26,D23=Sheet1!$B$27,D23=Sheet1!$B$28,D23=Sheet1!$B$29,D23=Sheet1!$B$30)
   ),
   CONCATENATE(SUM(E23:N23),"単位"),
   ""
  )
 )
)</f>
        <v/>
      </c>
      <c r="P23" s="67" t="str">
        <f t="shared" si="0"/>
        <v/>
      </c>
      <c r="Q23" s="68">
        <f t="shared" si="1"/>
        <v>0</v>
      </c>
      <c r="R23" s="68">
        <f t="shared" si="2"/>
        <v>0</v>
      </c>
      <c r="S23" s="68">
        <f t="shared" si="3"/>
        <v>0</v>
      </c>
      <c r="T23" s="68">
        <f t="shared" si="4"/>
        <v>0</v>
      </c>
      <c r="U23" s="70" t="str">
        <f t="shared" si="5"/>
        <v/>
      </c>
      <c r="V23" s="70" t="str">
        <f t="shared" si="6"/>
        <v/>
      </c>
      <c r="W23" s="70" t="str">
        <f t="shared" si="7"/>
        <v/>
      </c>
    </row>
    <row r="24" spans="1:23" ht="19.5" customHeight="1">
      <c r="A24" s="151"/>
      <c r="B24" s="152"/>
      <c r="C24" s="148"/>
      <c r="D24" s="149"/>
      <c r="E24" s="150"/>
      <c r="F24" s="153"/>
      <c r="G24" s="153"/>
      <c r="H24" s="153"/>
      <c r="I24" s="153"/>
      <c r="J24" s="153"/>
      <c r="K24" s="153"/>
      <c r="L24" s="153"/>
      <c r="M24" s="153"/>
      <c r="N24" s="153"/>
      <c r="O24" s="25" t="str">
        <f>IF(
 AND(SUM(E24:N24)&gt;0,OR(C24=Sheet1!$A$1,C24=Sheet1!$A$2)),
 CONCATENATE(SUM(E24:N24),"TB"),
 IF(
  AND(SUM(E24:N24)&gt;0,OR(C24=Sheet1!$A$6,C24=Sheet1!$A$3,C24=Sheet1!$A$7,C24=Sheet1!$A$4),D24=Sheet1!$B$31),
  CONCATENATE(SUM(E24:N24),"台"),
  IF(
   AND(
    SUM(E24:N24)&gt;0,
    OR(C24=Sheet1!$A$6,C24=Sheet1!$A$3,C24=Sheet1!$A$7,C24=Sheet1!$A$4,C24=Sheet1!$A$5),
    OR(D24=Sheet1!$B$25,D24=Sheet1!$B$26,D24=Sheet1!$B$27,D24=Sheet1!$B$28,D24=Sheet1!$B$29,D24=Sheet1!$B$30)
   ),
   CONCATENATE(SUM(E24:N24),"単位"),
   ""
  )
 )
)</f>
        <v/>
      </c>
      <c r="P24" s="67" t="str">
        <f t="shared" si="0"/>
        <v/>
      </c>
      <c r="Q24" s="108">
        <f t="shared" si="1"/>
        <v>0</v>
      </c>
      <c r="R24" s="68">
        <f t="shared" si="2"/>
        <v>0</v>
      </c>
      <c r="S24" s="68">
        <f t="shared" si="3"/>
        <v>0</v>
      </c>
      <c r="T24" s="68">
        <f t="shared" si="4"/>
        <v>0</v>
      </c>
      <c r="U24" s="70" t="str">
        <f t="shared" si="5"/>
        <v/>
      </c>
      <c r="V24" s="70" t="str">
        <f t="shared" si="6"/>
        <v/>
      </c>
      <c r="W24" s="70" t="str">
        <f t="shared" si="7"/>
        <v/>
      </c>
    </row>
    <row r="25" spans="1:23" ht="19.5" customHeight="1">
      <c r="A25" s="151"/>
      <c r="B25" s="152"/>
      <c r="C25" s="147"/>
      <c r="D25" s="154"/>
      <c r="E25" s="150"/>
      <c r="F25" s="153"/>
      <c r="G25" s="153"/>
      <c r="H25" s="153"/>
      <c r="I25" s="153"/>
      <c r="J25" s="153"/>
      <c r="K25" s="153"/>
      <c r="L25" s="153"/>
      <c r="M25" s="153"/>
      <c r="N25" s="153"/>
      <c r="O25" s="25" t="str">
        <f>IF(
 AND(SUM(E25:N25)&gt;0,OR(C25=Sheet1!$A$1,C25=Sheet1!$A$2)),
 CONCATENATE(SUM(E25:N25),"TB"),
 IF(
  AND(SUM(E25:N25)&gt;0,OR(C25=Sheet1!$A$6,C25=Sheet1!$A$3,C25=Sheet1!$A$7,C25=Sheet1!$A$4),D25=Sheet1!$B$31),
  CONCATENATE(SUM(E25:N25),"台"),
  IF(
   AND(
    SUM(E25:N25)&gt;0,
    OR(C25=Sheet1!$A$6,C25=Sheet1!$A$3,C25=Sheet1!$A$7,C25=Sheet1!$A$4,C25=Sheet1!$A$5),
    OR(D25=Sheet1!$B$25,D25=Sheet1!$B$26,D25=Sheet1!$B$27,D25=Sheet1!$B$28,D25=Sheet1!$B$29,D25=Sheet1!$B$30)
   ),
   CONCATENATE(SUM(E25:N25),"単位"),
   ""
  )
 )
)</f>
        <v/>
      </c>
      <c r="P25" s="67" t="str">
        <f t="shared" si="0"/>
        <v/>
      </c>
      <c r="Q25" s="68">
        <f t="shared" si="1"/>
        <v>0</v>
      </c>
      <c r="R25" s="68">
        <f t="shared" si="2"/>
        <v>0</v>
      </c>
      <c r="S25" s="68">
        <f t="shared" si="3"/>
        <v>0</v>
      </c>
      <c r="T25" s="68">
        <f t="shared" si="4"/>
        <v>0</v>
      </c>
      <c r="U25" s="70" t="str">
        <f t="shared" si="5"/>
        <v/>
      </c>
      <c r="V25" s="70" t="str">
        <f t="shared" si="6"/>
        <v/>
      </c>
      <c r="W25" s="70" t="str">
        <f t="shared" si="7"/>
        <v/>
      </c>
    </row>
    <row r="26" spans="1:23" ht="19.5" customHeight="1" thickBot="1">
      <c r="A26" s="155"/>
      <c r="B26" s="156"/>
      <c r="C26" s="157"/>
      <c r="D26" s="158"/>
      <c r="E26" s="159"/>
      <c r="F26" s="160"/>
      <c r="G26" s="160"/>
      <c r="H26" s="160"/>
      <c r="I26" s="160"/>
      <c r="J26" s="160"/>
      <c r="K26" s="160"/>
      <c r="L26" s="160"/>
      <c r="M26" s="160"/>
      <c r="N26" s="160"/>
      <c r="O26" s="25" t="str">
        <f>IF(
 AND(SUM(E26:N26)&gt;0,OR(C26=Sheet1!$A$1,C26=Sheet1!$A$2)),
 CONCATENATE(SUM(E26:N26),"TB"),
 IF(
  AND(SUM(E26:N26)&gt;0,OR(C26=Sheet1!$A$6,C26=Sheet1!$A$3,C26=Sheet1!$A$7,C26=Sheet1!$A$4),D26=Sheet1!$B$31),
  CONCATENATE(SUM(E26:N26),"台"),
  IF(
   AND(
    SUM(E26:N26)&gt;0,
    OR(C26=Sheet1!$A$6,C26=Sheet1!$A$3,C26=Sheet1!$A$7,C26=Sheet1!$A$4,C26=Sheet1!$A$5),
    OR(D26=Sheet1!$B$25,D26=Sheet1!$B$26,D26=Sheet1!$B$27,D26=Sheet1!$B$28,D26=Sheet1!$B$29,D26=Sheet1!$B$30)
   ),
   CONCATENATE(SUM(E26:N26),"単位"),
   ""
  )
 )
)</f>
        <v/>
      </c>
      <c r="P26" s="94" t="str">
        <f t="shared" si="0"/>
        <v/>
      </c>
      <c r="Q26" s="95">
        <f t="shared" si="1"/>
        <v>0</v>
      </c>
      <c r="R26" s="95">
        <f t="shared" si="2"/>
        <v>0</v>
      </c>
      <c r="S26" s="95">
        <f t="shared" si="3"/>
        <v>0</v>
      </c>
      <c r="T26" s="95">
        <f t="shared" si="4"/>
        <v>0</v>
      </c>
      <c r="U26" s="96" t="str">
        <f t="shared" si="5"/>
        <v/>
      </c>
      <c r="V26" s="96" t="str">
        <f t="shared" si="6"/>
        <v/>
      </c>
      <c r="W26" s="96" t="str">
        <f t="shared" si="7"/>
        <v/>
      </c>
    </row>
    <row r="27" spans="1:23" ht="19.5" customHeight="1" thickTop="1">
      <c r="A27" s="197" t="s">
        <v>43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72"/>
      <c r="P27" s="144"/>
      <c r="Q27" s="145"/>
      <c r="R27" s="145"/>
      <c r="S27" s="145"/>
      <c r="T27" s="92"/>
      <c r="U27" s="70">
        <f>SUMIFS(U12:U26,$C12:$C26,Sheet1!$A$6)</f>
        <v>0</v>
      </c>
      <c r="V27" s="70">
        <f>SUMIFS(V12:V26,$C12:$C26,Sheet1!$A$6)</f>
        <v>0</v>
      </c>
      <c r="W27" s="113">
        <f>SUMIFS(W12:W26,$C12:$C26,Sheet1!$A$6)</f>
        <v>0</v>
      </c>
    </row>
    <row r="28" spans="1:23" ht="19.5" customHeight="1">
      <c r="A28" s="197" t="s">
        <v>44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72"/>
      <c r="P28" s="86"/>
      <c r="Q28" s="101"/>
      <c r="R28" s="101"/>
      <c r="S28" s="140"/>
      <c r="T28" s="99"/>
      <c r="U28" s="70">
        <f>SUMIFS(U12:U26,$C12:$C26,Sheet1!$A$3)</f>
        <v>0</v>
      </c>
      <c r="V28" s="70">
        <f>SUMIFS(V12:V26,$C12:$C26,Sheet1!$A$3)</f>
        <v>0</v>
      </c>
      <c r="W28" s="110">
        <f>SUMIFS(W12:W26,$C12:$C26,Sheet1!$A$3)</f>
        <v>0</v>
      </c>
    </row>
    <row r="29" spans="1:23" ht="19.5" customHeight="1">
      <c r="A29" s="198" t="s">
        <v>45</v>
      </c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200"/>
      <c r="P29" s="97"/>
      <c r="Q29" s="98"/>
      <c r="R29" s="98"/>
      <c r="S29" s="101"/>
      <c r="T29" s="101"/>
      <c r="U29" s="70">
        <f>SUMIFS(U12:U26,$C12:$C26,Sheet1!$A$7)</f>
        <v>0</v>
      </c>
      <c r="V29" s="70">
        <f>SUMIFS(V12:V26,$C12:$C26,Sheet1!$A$7)</f>
        <v>0</v>
      </c>
      <c r="W29" s="110">
        <f>SUMIFS(W12:W26,$C12:$C26,Sheet1!$A$7)</f>
        <v>0</v>
      </c>
    </row>
    <row r="30" spans="1:23" ht="19.5" customHeight="1">
      <c r="A30" s="198" t="s">
        <v>46</v>
      </c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200"/>
      <c r="P30" s="90"/>
      <c r="Q30" s="68"/>
      <c r="R30" s="68"/>
      <c r="S30" s="68"/>
      <c r="T30" s="68"/>
      <c r="U30" s="26">
        <f>SUMIFS(U12:U26,$C12:$C26,Sheet1!$A$4)</f>
        <v>0</v>
      </c>
      <c r="V30" s="70">
        <f>SUMIFS(V12:V26,$C12:$C26,Sheet1!$A$4)</f>
        <v>0</v>
      </c>
      <c r="W30" s="110">
        <f>SUMIFS(W12:W26,$C12:$C26,Sheet1!$A$4)</f>
        <v>0</v>
      </c>
    </row>
    <row r="31" spans="1:23" ht="19.5" customHeight="1">
      <c r="A31" s="198" t="s">
        <v>47</v>
      </c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200"/>
      <c r="P31" s="86"/>
      <c r="Q31" s="61"/>
      <c r="R31" s="61"/>
      <c r="S31" s="61"/>
      <c r="T31" s="61"/>
      <c r="U31" s="26">
        <f>SUMIFS(U12:U26,$C12:$C26,Sheet1!$A$5)</f>
        <v>0</v>
      </c>
      <c r="V31" s="70">
        <f>SUMIFS(V12:V26,$C12:$C26,Sheet1!$A$5)</f>
        <v>0</v>
      </c>
      <c r="W31" s="110">
        <f>SUMIFS(W12:W26,$C12:$C26,Sheet1!$A$5)</f>
        <v>0</v>
      </c>
    </row>
    <row r="32" spans="1:23" ht="19.5" customHeight="1">
      <c r="A32" s="204" t="s">
        <v>48</v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71"/>
      <c r="P32" s="97"/>
      <c r="Q32" s="98"/>
      <c r="R32" s="98"/>
      <c r="S32" s="98"/>
      <c r="T32" s="100"/>
      <c r="U32" s="42">
        <f>SUMIFS(U12:U26,$C12:$C26,Sheet1!$A$1,$D12:$D26,Sheet1!$B$1)</f>
        <v>0</v>
      </c>
      <c r="V32" s="42">
        <f>SUMIFS(V12:V26,$C12:$C26,Sheet1!$A$1,$D12:$D26,Sheet1!$B$1)</f>
        <v>0</v>
      </c>
      <c r="W32" s="111">
        <f>SUMIFS(W12:W26,$C12:$C26,Sheet1!$A$1,$D12:$D26,Sheet1!$B$1)</f>
        <v>0</v>
      </c>
    </row>
    <row r="33" spans="1:23" ht="19.5" customHeight="1">
      <c r="A33" s="189" t="s">
        <v>49</v>
      </c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1"/>
      <c r="P33" s="141"/>
      <c r="Q33" s="142"/>
      <c r="R33" s="142"/>
      <c r="S33" s="142"/>
      <c r="T33" s="143"/>
      <c r="U33" s="55">
        <f>SUMIFS(U12:U26,$C12:$C26,Sheet1!$A$2,$D12:$D26,Sheet1!$B$2)</f>
        <v>0</v>
      </c>
      <c r="V33" s="56">
        <f>SUMIFS(V12:V26,$C12:$C26,Sheet1!$A$2,$D12:$D26,Sheet1!$B$2)</f>
        <v>0</v>
      </c>
      <c r="W33" s="112">
        <f>SUMIFS(W12:W26,$C12:$C26,Sheet1!$A$2,$D12:$D26,Sheet1!$B$2)</f>
        <v>0</v>
      </c>
    </row>
    <row r="34" spans="1:23" ht="19.5" customHeight="1" thickBot="1">
      <c r="A34" s="133" t="s">
        <v>42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5"/>
      <c r="P34" s="136"/>
      <c r="Q34" s="137"/>
      <c r="R34" s="137"/>
      <c r="S34" s="137"/>
      <c r="T34" s="137"/>
      <c r="U34" s="138">
        <v>0</v>
      </c>
      <c r="V34" s="138">
        <v>0</v>
      </c>
      <c r="W34" s="138">
        <v>0</v>
      </c>
    </row>
    <row r="35" spans="1:23" ht="19.2" customHeight="1" thickTop="1">
      <c r="A35" s="103" t="s">
        <v>112</v>
      </c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5"/>
      <c r="P35" s="106"/>
      <c r="Q35" s="109"/>
      <c r="R35" s="109"/>
      <c r="S35" s="109"/>
      <c r="T35" s="109"/>
      <c r="U35" s="107">
        <f>SUM(U27:U34)</f>
        <v>0</v>
      </c>
      <c r="V35" s="107">
        <f>SUM(V27:V34)</f>
        <v>0</v>
      </c>
      <c r="W35" s="107">
        <f>SUM(W27:W34)</f>
        <v>0</v>
      </c>
    </row>
    <row r="36" spans="1:23" ht="22.2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26" t="s">
        <v>106</v>
      </c>
      <c r="V36" s="127"/>
      <c r="W36" s="128">
        <f>SUM(U35:W35)</f>
        <v>0</v>
      </c>
    </row>
    <row r="37" spans="1:23" ht="18" customHeight="1">
      <c r="N37" s="101"/>
      <c r="O37" s="101"/>
      <c r="P37" s="101"/>
      <c r="Q37" s="101"/>
      <c r="R37" s="101"/>
      <c r="S37" s="101"/>
      <c r="T37" s="101"/>
      <c r="U37" s="101"/>
      <c r="V37" s="101"/>
    </row>
    <row r="38" spans="1:23" ht="18" customHeight="1">
      <c r="N38" s="101"/>
      <c r="O38" s="101"/>
      <c r="P38" s="101"/>
      <c r="Q38" s="101"/>
      <c r="R38" s="101"/>
      <c r="S38" s="101"/>
      <c r="T38" s="101"/>
      <c r="U38" s="101"/>
      <c r="V38" s="101"/>
    </row>
    <row r="39" spans="1:23" ht="18" customHeight="1"/>
    <row r="40" spans="1:23" ht="18" customHeight="1"/>
    <row r="41" spans="1:23" ht="18" customHeight="1"/>
    <row r="42" spans="1:23" ht="18" customHeight="1"/>
    <row r="43" spans="1:23" ht="18" customHeight="1"/>
    <row r="44" spans="1:23" ht="18" customHeight="1"/>
    <row r="45" spans="1:23" ht="18" customHeight="1"/>
    <row r="46" spans="1:23" ht="18" customHeight="1"/>
    <row r="47" spans="1:23" ht="18" customHeight="1"/>
    <row r="48" spans="1:23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22">
    <mergeCell ref="A33:O33"/>
    <mergeCell ref="E8:N8"/>
    <mergeCell ref="O8:O11"/>
    <mergeCell ref="E9:N9"/>
    <mergeCell ref="A27:O27"/>
    <mergeCell ref="A28:O28"/>
    <mergeCell ref="A29:O29"/>
    <mergeCell ref="A30:O30"/>
    <mergeCell ref="A8:A11"/>
    <mergeCell ref="B8:B11"/>
    <mergeCell ref="A31:O31"/>
    <mergeCell ref="A32:O32"/>
    <mergeCell ref="U8:U11"/>
    <mergeCell ref="V8:V11"/>
    <mergeCell ref="W8:W11"/>
    <mergeCell ref="C8:C11"/>
    <mergeCell ref="D8:D11"/>
    <mergeCell ref="Q8:Q11"/>
    <mergeCell ref="R8:R11"/>
    <mergeCell ref="S8:S11"/>
    <mergeCell ref="T8:T11"/>
    <mergeCell ref="P8:P11"/>
  </mergeCells>
  <phoneticPr fontId="13"/>
  <dataValidations count="2">
    <dataValidation type="list" allowBlank="1" showErrorMessage="1" sqref="D12:D26" xr:uid="{00000000-0002-0000-0100-000000000000}">
      <formula1>INDIRECT(C12)</formula1>
    </dataValidation>
    <dataValidation type="list" allowBlank="1" showErrorMessage="1" sqref="C12:C26 C34" xr:uid="{00000000-0002-0000-0100-000001000000}">
      <formula1>サービス</formula1>
    </dataValidation>
  </dataValidations>
  <pageMargins left="0.25" right="0.25" top="0.75" bottom="0.7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ABF8F"/>
    <pageSetUpPr fitToPage="1"/>
  </sheetPr>
  <dimension ref="A1:X1000"/>
  <sheetViews>
    <sheetView workbookViewId="0">
      <selection activeCell="AA21" sqref="AA21"/>
    </sheetView>
  </sheetViews>
  <sheetFormatPr defaultColWidth="14.44140625" defaultRowHeight="15" customHeight="1"/>
  <cols>
    <col min="1" max="1" width="12.33203125" customWidth="1"/>
    <col min="2" max="2" width="12" customWidth="1"/>
    <col min="3" max="3" width="32.5546875" customWidth="1"/>
    <col min="4" max="4" width="45.33203125" customWidth="1"/>
    <col min="5" max="14" width="8.5546875" customWidth="1"/>
    <col min="15" max="15" width="15.33203125" customWidth="1"/>
    <col min="16" max="20" width="0.33203125" customWidth="1"/>
    <col min="21" max="23" width="15.33203125" customWidth="1"/>
    <col min="24" max="24" width="16" customWidth="1"/>
    <col min="25" max="26" width="8.6640625" customWidth="1"/>
  </cols>
  <sheetData>
    <row r="1" spans="1:24" ht="51" customHeight="1">
      <c r="A1" s="11">
        <v>2026</v>
      </c>
      <c r="B1" s="12" t="s">
        <v>20</v>
      </c>
      <c r="C1" s="13"/>
      <c r="D1" s="1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45" customHeight="1">
      <c r="A2" s="225" t="s">
        <v>21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200"/>
    </row>
    <row r="3" spans="1:24" ht="18" customHeight="1">
      <c r="A3" s="226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200"/>
    </row>
    <row r="4" spans="1:24" ht="15.75" customHeight="1">
      <c r="A4" s="227" t="s">
        <v>52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</row>
    <row r="5" spans="1:24" ht="15.75" customHeight="1">
      <c r="A5" s="227" t="s">
        <v>53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</row>
    <row r="6" spans="1:24" ht="15.75" customHeight="1">
      <c r="A6" s="15" t="s">
        <v>54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</row>
    <row r="7" spans="1:24" ht="15.75" customHeight="1">
      <c r="A7" s="227" t="s">
        <v>55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</row>
    <row r="8" spans="1:24" ht="15.75" customHeight="1">
      <c r="A8" s="222" t="s">
        <v>26</v>
      </c>
      <c r="B8" s="222" t="s">
        <v>27</v>
      </c>
      <c r="C8" s="222" t="s">
        <v>28</v>
      </c>
      <c r="D8" s="223" t="s">
        <v>29</v>
      </c>
      <c r="E8" s="235" t="s">
        <v>30</v>
      </c>
      <c r="F8" s="236"/>
      <c r="G8" s="236"/>
      <c r="H8" s="236"/>
      <c r="I8" s="236"/>
      <c r="J8" s="236"/>
      <c r="K8" s="236"/>
      <c r="L8" s="236"/>
      <c r="M8" s="236"/>
      <c r="N8" s="237"/>
      <c r="O8" s="238" t="s">
        <v>31</v>
      </c>
      <c r="P8" s="224" t="s">
        <v>32</v>
      </c>
      <c r="Q8" s="213" t="s">
        <v>31</v>
      </c>
      <c r="R8" s="213" t="s">
        <v>33</v>
      </c>
      <c r="S8" s="213" t="s">
        <v>34</v>
      </c>
      <c r="T8" s="213" t="s">
        <v>35</v>
      </c>
      <c r="U8" s="217" t="s">
        <v>36</v>
      </c>
      <c r="V8" s="218" t="s">
        <v>37</v>
      </c>
      <c r="W8" s="219" t="s">
        <v>38</v>
      </c>
      <c r="X8" s="214" t="s">
        <v>39</v>
      </c>
    </row>
    <row r="9" spans="1:24" ht="15.75" customHeight="1">
      <c r="A9" s="177"/>
      <c r="B9" s="177"/>
      <c r="C9" s="177"/>
      <c r="D9" s="171"/>
      <c r="E9" s="196" t="s">
        <v>12</v>
      </c>
      <c r="F9" s="182"/>
      <c r="G9" s="182"/>
      <c r="H9" s="182"/>
      <c r="I9" s="182"/>
      <c r="J9" s="182"/>
      <c r="K9" s="182"/>
      <c r="L9" s="182"/>
      <c r="M9" s="182"/>
      <c r="N9" s="172"/>
      <c r="O9" s="177"/>
      <c r="P9" s="187"/>
      <c r="Q9" s="209"/>
      <c r="R9" s="209"/>
      <c r="S9" s="209"/>
      <c r="T9" s="209"/>
      <c r="U9" s="177"/>
      <c r="V9" s="171"/>
      <c r="W9" s="220"/>
      <c r="X9" s="171"/>
    </row>
    <row r="10" spans="1:24" ht="15.75" customHeight="1">
      <c r="A10" s="177"/>
      <c r="B10" s="177"/>
      <c r="C10" s="177"/>
      <c r="D10" s="171"/>
      <c r="E10" s="44" t="s">
        <v>56</v>
      </c>
      <c r="F10" s="45" t="s">
        <v>57</v>
      </c>
      <c r="G10" s="16" t="s">
        <v>58</v>
      </c>
      <c r="H10" s="16"/>
      <c r="I10" s="16"/>
      <c r="J10" s="17"/>
      <c r="K10" s="17"/>
      <c r="L10" s="18"/>
      <c r="M10" s="17"/>
      <c r="N10" s="17"/>
      <c r="O10" s="177"/>
      <c r="P10" s="187"/>
      <c r="Q10" s="209"/>
      <c r="R10" s="209"/>
      <c r="S10" s="209"/>
      <c r="T10" s="209"/>
      <c r="U10" s="177"/>
      <c r="V10" s="171"/>
      <c r="W10" s="220"/>
      <c r="X10" s="171"/>
    </row>
    <row r="11" spans="1:24" ht="15.75" customHeight="1">
      <c r="A11" s="178"/>
      <c r="B11" s="178"/>
      <c r="C11" s="178"/>
      <c r="D11" s="172"/>
      <c r="E11" s="46" t="s">
        <v>59</v>
      </c>
      <c r="F11" s="47" t="s">
        <v>60</v>
      </c>
      <c r="G11" s="19" t="s">
        <v>61</v>
      </c>
      <c r="H11" s="19"/>
      <c r="I11" s="19"/>
      <c r="J11" s="48"/>
      <c r="K11" s="20"/>
      <c r="L11" s="66"/>
      <c r="M11" s="20"/>
      <c r="N11" s="20"/>
      <c r="O11" s="178"/>
      <c r="P11" s="188"/>
      <c r="Q11" s="182"/>
      <c r="R11" s="182"/>
      <c r="S11" s="182"/>
      <c r="T11" s="182"/>
      <c r="U11" s="178"/>
      <c r="V11" s="172"/>
      <c r="W11" s="221"/>
      <c r="X11" s="172"/>
    </row>
    <row r="12" spans="1:24" ht="15.75" customHeight="1">
      <c r="A12" s="21">
        <v>46113</v>
      </c>
      <c r="B12" s="21">
        <v>46295</v>
      </c>
      <c r="C12" s="22" t="s">
        <v>40</v>
      </c>
      <c r="D12" s="23" t="s">
        <v>41</v>
      </c>
      <c r="E12" s="24">
        <v>20</v>
      </c>
      <c r="F12" s="24">
        <v>40</v>
      </c>
      <c r="G12" s="24">
        <v>30</v>
      </c>
      <c r="H12" s="24"/>
      <c r="I12" s="24"/>
      <c r="J12" s="24"/>
      <c r="K12" s="24"/>
      <c r="L12" s="24"/>
      <c r="M12" s="24"/>
      <c r="N12" s="24"/>
      <c r="O12" s="25" t="str">
        <f>IF(
 AND(SUM(E12:N12)&gt;0,OR(C12=Sheet1!$A$1,C12=Sheet1!$A$2)),
 CONCATENATE(SUM(E12:N12),"TB"),
 IF(
  AND(SUM(E12:N12)&gt;0,OR(C12=Sheet1!$A$6,C12=Sheet1!$A$3,C12=Sheet1!$A$7,C12=Sheet1!$A$4),D12=Sheet1!$H$6),
  CONCATENATE(SUM(E12:N12),"台"),
  IF(
   AND(
    SUM(E12:N12)&gt;0,
    OR(C12=Sheet1!$A$6,C12=Sheet1!$A$3,C12=Sheet1!$A$7,C12=Sheet1!$A$4,C12=Sheet1!$A$5),
    OR(D12=Sheet1!$B$6,D12=Sheet1!$C$6,D12=Sheet1!$D$6,D12=Sheet1!$E$6,D12=Sheet1!$F$6,D12=Sheet1!$G$6)
   ),
   CONCATENATE(SUM(E12:N12),"単位"),
   ""
  )
 )
)</f>
        <v>90TB</v>
      </c>
      <c r="P12" s="67" t="str">
        <f t="shared" ref="P12:P26" si="0">C12&amp;D12</f>
        <v>ストレージ大規模利用_一般解析区画Quota設定のみ</v>
      </c>
      <c r="Q12" s="68">
        <f t="shared" ref="Q12:Q26" si="1">SUM(E12:N12)</f>
        <v>90</v>
      </c>
      <c r="R12" s="68">
        <f t="shared" ref="R12:R26" si="2">IF(AND($A12&lt;=DATE(年,4,1),$B12&gt;=DATE(年,7,31)),DATEDIF(DATE(年,4,1),DATE(年,7,31),"d")+1,IF(AND($A12&gt;DATE(年,4,1),$A12&lt;=DATE(年,7,31),$B12&gt;=DATE(年,7,31)),DATEDIF($A12,DATE(年,7,31),"d")+1,IF(AND($A12&lt;=DATE(年,4,1),$B12&gt;=DATE(年,4,1),$B12&lt;=DATE(年,7,31)),DATEDIF(DATE(年,4,1),$B12,"d")+1,IF(AND($A12&gt;=DATE(年,4,1),$A12&lt;=DATE(年,7,31),$B12&gt;=DATE(年,4,1),$B12&lt;=DATE(年,7,31)),DATEDIF(A12,B12,"d")+1,0))))</f>
        <v>122</v>
      </c>
      <c r="S12" s="68">
        <f t="shared" ref="S12:S26" si="3">IF(AND($A12&lt;=DATE(年,8,1),$B12&gt;=DATE(年,11,30)),DATEDIF(DATE(年,8,1),DATE(年,11,30),"d")+1,IF(AND($A12&gt;DATE(年,8,1),$A12&lt;=DATE(年,11,30),$B12&gt;=DATE(年,11,30)),DATEDIF($A12,DATE(年,11,30),"d")+1,IF(AND($A12&lt;=DATE(年,8,1),$B12&gt;=DATE(年,8,1),$B12&lt;=DATE(年,11,30)),DATEDIF(DATE(年,8,1),$B12,"d")+1,IF(AND($A12&gt;=DATE(年,8,1),$A12&lt;=DATE(年,11,30),$B12&gt;=DATE(年,8,1),$B12&lt;=DATE(年,11,30)),DATEDIF($A12,$B12,"d")+1,0))))</f>
        <v>61</v>
      </c>
      <c r="T12" s="68">
        <f t="shared" ref="T12:T26" si="4">IF(AND($A12&lt;=DATE(年,12,1),$B12&gt;=DATE(年+1,3,31)),DATEDIF(DATE(年,12,1),DATE(年+1,3,31),"d")+1,IF(AND($A12&gt;DATE(年,12,1),$A12&lt;=DATE(年+1,3,31),$B12&gt;=DATE(年+1,3,31)),DATEDIF($A12,DATE(年+1,3,31),"d")+1,IF(AND($A12&lt;=DATE(年,12,1),$B12&gt;=DATE(年,12,1),$B12&lt;=DATE(年+1,3,31)),DATEDIF(DATE(年,12,1),$B12,"d")+1,IF(AND(A12&gt;=DATE(年,12,1),$A12&lt;=DATE(年+1,3,31),$B12&gt;=DATE(年,12,1),$B12&lt;=DATE(年+1,3,31)),DATEDIF($A12,$B12,"d")+1,0))))</f>
        <v>0</v>
      </c>
      <c r="U12" s="26">
        <f t="shared" ref="U12:W12" si="5">IF(
 AND($P12=ストレージ一般解析Quota設定のみ,$Q12&lt;=30),0,IF(
  AND($P12=ストレージ一般解析Quota設定のみ,$Q12&gt;30),ROUNDDOWN(ROUNDUP($Q12/10,0)*ストレージ一般解析Quota設定のみ単価*(R12/年間日数),0),IF(
   AND($P12=ストレージ個人ゲノムQuota設定のみ),ROUNDDOWN(ROUNDUP($Q12/10,0)*ストレージ個人ゲノムQuota設定のみ単価*(R12/年間日数),0),IF(
    $D12=CPU1_,ROUNDDOWN(($Q12*CPU1単価*R12/30),0),IF(
     $D12=CPU2_,ROUNDDOWN(($Q12*CPU2単価*R12/30),0),IF(
      $D12=Mem1_,ROUNDDOWN(($Q12*Mem1単価*R12/30),0),IF(
       $D12=Mem2_,ROUNDDOWN(($Q12*Mem2単価*R12/30),0),IF(
        $D12=Acc1_,ROUNDDOWN(($Q12*Acc1単価*R12/30),0),IF(
         $D12=Acc2_,ROUNDDOWN(($Q12*Acc2単価*R12/30),0),IF(
          $D12=Acc3_,ROUNDDOWN(($Q12*Acc3単価*R12/30),0),""
         )
        )
       )
      )
     )
    )
   )
  )
 )
)</f>
        <v>120328</v>
      </c>
      <c r="V12" s="26">
        <f t="shared" si="5"/>
        <v>60164</v>
      </c>
      <c r="W12" s="27">
        <f t="shared" si="5"/>
        <v>0</v>
      </c>
      <c r="X12" s="71">
        <f t="shared" ref="X12:X26" si="6">IF(O12="","",SUM(U12:W12))</f>
        <v>180492</v>
      </c>
    </row>
    <row r="13" spans="1:24" ht="15.75" customHeight="1">
      <c r="A13" s="21">
        <v>46296</v>
      </c>
      <c r="B13" s="21">
        <v>46477</v>
      </c>
      <c r="C13" s="22" t="s">
        <v>40</v>
      </c>
      <c r="D13" s="23" t="s">
        <v>41</v>
      </c>
      <c r="E13" s="24">
        <v>20</v>
      </c>
      <c r="F13" s="24">
        <v>30</v>
      </c>
      <c r="G13" s="24">
        <v>40</v>
      </c>
      <c r="H13" s="24"/>
      <c r="I13" s="24"/>
      <c r="J13" s="24"/>
      <c r="K13" s="24"/>
      <c r="L13" s="24"/>
      <c r="M13" s="24"/>
      <c r="N13" s="24"/>
      <c r="O13" s="25" t="str">
        <f>IF(
 AND(SUM(E13:N13)&gt;0,OR(C13=Sheet1!$A$1,C13=Sheet1!$A$2)),
 CONCATENATE(SUM(E13:N13),"TB"),
 IF(
  AND(SUM(E13:N13)&gt;0,OR(C13=Sheet1!$A$6,C13=Sheet1!$A$3,C13=Sheet1!$A$7,C13=Sheet1!$A$4),D13=Sheet1!$H$6),
  CONCATENATE(SUM(E13:N13),"台"),
  IF(
   AND(
    SUM(E13:N13)&gt;0,
    OR(C13=Sheet1!$A$6,C13=Sheet1!$A$3,C13=Sheet1!$A$7,C13=Sheet1!$A$4,C13=Sheet1!$A$5),
    OR(D13=Sheet1!$B$6,D13=Sheet1!$C$6,D13=Sheet1!$D$6,D13=Sheet1!$E$6,D13=Sheet1!$F$6,D13=Sheet1!$G$6)
   ),
   CONCATENATE(SUM(E13:N13),"単位"),
   ""
  )
 )
)</f>
        <v>90TB</v>
      </c>
      <c r="P13" s="67" t="str">
        <f t="shared" si="0"/>
        <v>ストレージ大規模利用_一般解析区画Quota設定のみ</v>
      </c>
      <c r="Q13" s="68">
        <f t="shared" si="1"/>
        <v>90</v>
      </c>
      <c r="R13" s="68">
        <f t="shared" si="2"/>
        <v>0</v>
      </c>
      <c r="S13" s="68">
        <f t="shared" si="3"/>
        <v>61</v>
      </c>
      <c r="T13" s="68">
        <f t="shared" si="4"/>
        <v>121</v>
      </c>
      <c r="U13" s="26">
        <f t="shared" ref="U13:U26" si="7">IF(
 AND($P13=ストレージ一般解析Quota設定のみ,$Q13&lt;=30),0,IF(
  AND($P13=ストレージ一般解析Quota設定のみ,$Q13&gt;30),ROUNDDOWN(ROUNDUP($Q13/10,0)*ストレージ一般解析Quota設定のみ単価*(R13/年間日数),0),IF(
   AND($P13=ストレージ個人ゲノムQuota設定のみ),ROUNDDOWN(ROUNDUP($Q13/10,0)*ストレージ個人ゲノムQuota設定のみ単価*(R13/年間日数),0),IF(
    $D13=CPU1_,ROUNDDOWN(($Q13*CPU1単価*R13/30),0),IF(
     $D13=CPU2_,ROUNDDOWN(($Q13*CPU2単価*R13/30),0),IF(
      $D13=Mem1_,ROUNDDOWN(($Q13*Mem1単価*R13/30),0),IF(
       $D13=Mem2_,ROUNDDOWN(($Q13*Mem2単価*R13/30),0),IF(
        $D13=Acc1_,ROUNDDOWN(($Q13*Acc1単価*R13/30),0),IF(
         $D13=Acc2_,ROUNDDOWN(($Q13*Acc2単価*R13/30),0),IF(
          $D13=Acc3_,ROUNDDOWN(($Q13*Acc3単価*R13/30),0),""
         )
        )
       )
      )
     )
    )
   )
  )
 )
)</f>
        <v>0</v>
      </c>
      <c r="V13" s="26">
        <f t="shared" ref="V13:V26" si="8">IF(
 AND($P13=ストレージ一般解析Quota設定のみ,$Q13&lt;=30),0,IF(
  AND($P13=ストレージ一般解析Quota設定のみ,$Q13&gt;30),ROUNDDOWN(ROUNDUP($Q13/10,0)*ストレージ一般解析Quota設定のみ単価*(S13/年間日数),0),IF(
   AND($P13=ストレージ個人ゲノムQuota設定のみ),ROUNDDOWN(ROUNDUP($Q13/10,0)*ストレージ個人ゲノムQuota設定のみ単価*(S13/年間日数),0),IF(
    $D13=CPU1_,ROUNDDOWN(($Q13*CPU1単価*S13/30),0),IF(
     $D13=CPU2_,ROUNDDOWN(($Q13*CPU2単価*S13/30),0),IF(
      $D13=Mem1_,ROUNDDOWN(($Q13*Mem1単価*S13/30),0),IF(
       $D13=Mem2_,ROUNDDOWN(($Q13*Mem2単価*S13/30),0),IF(
        $D13=Acc1_,ROUNDDOWN(($Q13*Acc1単価*S13/30),0),IF(
         $D13=Acc2_,ROUNDDOWN(($Q13*Acc2単価*S13/30),0),IF(
          $D13=Acc3_,ROUNDDOWN(($Q13*Acc3単価*S13/30),0),""
         )
        )
       )
      )
     )
    )
   )
  )
 )
)</f>
        <v>60164</v>
      </c>
      <c r="W13" s="27">
        <f t="shared" ref="W13:W26" si="9">IF(
 AND($P13=ストレージ一般解析Quota設定のみ,$Q13&lt;=30),0,IF(
  AND($P13=ストレージ一般解析Quota設定のみ,$Q13&gt;30),ROUNDDOWN(ROUNDUP($Q13/10,0)*ストレージ一般解析Quota設定のみ単価*(T13/年間日数),0),IF(
   AND($P13=ストレージ個人ゲノムQuota設定のみ),ROUNDDOWN(ROUNDUP($Q13/10,0)*ストレージ個人ゲノムQuota設定のみ単価*(T13/年間日数),0),IF(
    $D13=CPU1_,ROUNDDOWN(($Q13*CPU1単価*T13/30),0),IF(
     $D13=CPU2_,ROUNDDOWN(($Q13*CPU2単価*T13/30),0),IF(
      $D13=Mem1_,ROUNDDOWN(($Q13*Mem1単価*T13/30),0),IF(
       $D13=Mem2_,ROUNDDOWN(($Q13*Mem2単価*T13/30),0),IF(
        $D13=Acc1_,ROUNDDOWN(($Q13*Acc1単価*T13/30),0),IF(
         $D13=Acc2_,ROUNDDOWN(($Q13*Acc2単価*T13/30),0),IF(
          $D13=Acc3_,ROUNDDOWN(($Q13*Acc3単価*T13/30),0),""
         )
        )
       )
      )
     )
    )
   )
  )
 )
)</f>
        <v>119342</v>
      </c>
      <c r="X13" s="71">
        <f t="shared" si="6"/>
        <v>179506</v>
      </c>
    </row>
    <row r="14" spans="1:24" ht="15.75" customHeight="1">
      <c r="A14" s="21">
        <v>46113</v>
      </c>
      <c r="B14" s="21">
        <v>46295</v>
      </c>
      <c r="C14" s="22" t="s">
        <v>62</v>
      </c>
      <c r="D14" s="23" t="s">
        <v>41</v>
      </c>
      <c r="E14" s="24">
        <v>20</v>
      </c>
      <c r="F14" s="24">
        <v>30</v>
      </c>
      <c r="G14" s="24">
        <v>40</v>
      </c>
      <c r="H14" s="24"/>
      <c r="I14" s="24"/>
      <c r="J14" s="24"/>
      <c r="K14" s="24"/>
      <c r="L14" s="24"/>
      <c r="M14" s="24"/>
      <c r="N14" s="24"/>
      <c r="O14" s="25" t="str">
        <f>IF(
 AND(SUM(E14:N14)&gt;0,OR(C14=Sheet1!$A$1,C14=Sheet1!$A$2)),
 CONCATENATE(SUM(E14:N14),"TB"),
 IF(
  AND(SUM(E14:N14)&gt;0,OR(C14=Sheet1!$A$6,C14=Sheet1!$A$3,C14=Sheet1!$A$7,C14=Sheet1!$A$4),D14=Sheet1!$H$6),
  CONCATENATE(SUM(E14:N14),"台"),
  IF(
   AND(
    SUM(E14:N14)&gt;0,
    OR(C14=Sheet1!$A$6,C14=Sheet1!$A$3,C14=Sheet1!$A$7,C14=Sheet1!$A$4,C14=Sheet1!$A$5),
    OR(D14=Sheet1!$B$6,D14=Sheet1!$C$6,D14=Sheet1!$D$6,D14=Sheet1!$E$6,D14=Sheet1!$F$6,D14=Sheet1!$G$6)
   ),
   CONCATENATE(SUM(E14:N14),"単位"),
   ""
  )
 )
)</f>
        <v>90TB</v>
      </c>
      <c r="P14" s="67" t="str">
        <f t="shared" si="0"/>
        <v>ストレージ大規模利用_個人ゲノム区画Quota設定のみ</v>
      </c>
      <c r="Q14" s="28">
        <f t="shared" si="1"/>
        <v>90</v>
      </c>
      <c r="R14" s="68">
        <f t="shared" si="2"/>
        <v>122</v>
      </c>
      <c r="S14" s="68">
        <f t="shared" si="3"/>
        <v>61</v>
      </c>
      <c r="T14" s="68">
        <f t="shared" si="4"/>
        <v>0</v>
      </c>
      <c r="U14" s="26">
        <f t="shared" si="7"/>
        <v>120328</v>
      </c>
      <c r="V14" s="26">
        <f t="shared" si="8"/>
        <v>60164</v>
      </c>
      <c r="W14" s="27">
        <f t="shared" si="9"/>
        <v>0</v>
      </c>
      <c r="X14" s="71">
        <f t="shared" si="6"/>
        <v>180492</v>
      </c>
    </row>
    <row r="15" spans="1:24" ht="15.75" customHeight="1">
      <c r="A15" s="21">
        <v>46296</v>
      </c>
      <c r="B15" s="21">
        <v>46326</v>
      </c>
      <c r="C15" s="22" t="s">
        <v>62</v>
      </c>
      <c r="D15" s="23" t="s">
        <v>41</v>
      </c>
      <c r="E15" s="24">
        <v>20</v>
      </c>
      <c r="F15" s="24">
        <v>40</v>
      </c>
      <c r="G15" s="24">
        <v>40</v>
      </c>
      <c r="H15" s="24"/>
      <c r="I15" s="24"/>
      <c r="J15" s="24"/>
      <c r="K15" s="24"/>
      <c r="L15" s="24"/>
      <c r="M15" s="24"/>
      <c r="N15" s="24"/>
      <c r="O15" s="25" t="str">
        <f>IF(
 AND(SUM(E15:N15)&gt;0,OR(C15=Sheet1!$A$1,C15=Sheet1!$A$2)),
 CONCATENATE(SUM(E15:N15),"TB"),
 IF(
  AND(SUM(E15:N15)&gt;0,OR(C15=Sheet1!$A$6,C15=Sheet1!$A$3,C15=Sheet1!$A$7,C15=Sheet1!$A$4),D15=Sheet1!$H$6),
  CONCATENATE(SUM(E15:N15),"台"),
  IF(
   AND(
    SUM(E15:N15)&gt;0,
    OR(C15=Sheet1!$A$6,C15=Sheet1!$A$3,C15=Sheet1!$A$7,C15=Sheet1!$A$4,C15=Sheet1!$A$5),
    OR(D15=Sheet1!$B$6,D15=Sheet1!$C$6,D15=Sheet1!$D$6,D15=Sheet1!$E$6,D15=Sheet1!$F$6,D15=Sheet1!$G$6)
   ),
   CONCATENATE(SUM(E15:N15),"単位"),
   ""
  )
 )
)</f>
        <v>100TB</v>
      </c>
      <c r="P15" s="67" t="str">
        <f t="shared" si="0"/>
        <v>ストレージ大規模利用_個人ゲノム区画Quota設定のみ</v>
      </c>
      <c r="Q15" s="68">
        <f t="shared" si="1"/>
        <v>100</v>
      </c>
      <c r="R15" s="68">
        <f t="shared" si="2"/>
        <v>0</v>
      </c>
      <c r="S15" s="68">
        <f t="shared" si="3"/>
        <v>31</v>
      </c>
      <c r="T15" s="68">
        <f t="shared" si="4"/>
        <v>0</v>
      </c>
      <c r="U15" s="26">
        <f t="shared" si="7"/>
        <v>0</v>
      </c>
      <c r="V15" s="26">
        <f t="shared" si="8"/>
        <v>33972</v>
      </c>
      <c r="W15" s="27">
        <f t="shared" si="9"/>
        <v>0</v>
      </c>
      <c r="X15" s="71">
        <f t="shared" si="6"/>
        <v>33972</v>
      </c>
    </row>
    <row r="16" spans="1:24" ht="15.75" customHeight="1">
      <c r="A16" s="21">
        <v>46388</v>
      </c>
      <c r="B16" s="21">
        <v>46477</v>
      </c>
      <c r="C16" s="22" t="s">
        <v>62</v>
      </c>
      <c r="D16" s="23" t="s">
        <v>41</v>
      </c>
      <c r="E16" s="24">
        <v>30</v>
      </c>
      <c r="F16" s="24">
        <v>40</v>
      </c>
      <c r="G16" s="24">
        <v>40</v>
      </c>
      <c r="H16" s="24"/>
      <c r="I16" s="24"/>
      <c r="J16" s="24"/>
      <c r="K16" s="24"/>
      <c r="L16" s="24"/>
      <c r="M16" s="24"/>
      <c r="N16" s="24"/>
      <c r="O16" s="25" t="str">
        <f>IF(
 AND(SUM(E16:N16)&gt;0,OR(C16=Sheet1!$A$1,C16=Sheet1!$A$2)),
 CONCATENATE(SUM(E16:N16),"TB"),
 IF(
  AND(SUM(E16:N16)&gt;0,OR(C16=Sheet1!$A$6,C16=Sheet1!$A$3,C16=Sheet1!$A$7,C16=Sheet1!$A$4),D16=Sheet1!$H$6),
  CONCATENATE(SUM(E16:N16),"台"),
  IF(
   AND(
    SUM(E16:N16)&gt;0,
    OR(C16=Sheet1!$A$6,C16=Sheet1!$A$3,C16=Sheet1!$A$7,C16=Sheet1!$A$4,C16=Sheet1!$A$5),
    OR(D16=Sheet1!$B$6,D16=Sheet1!$C$6,D16=Sheet1!$D$6,D16=Sheet1!$E$6,D16=Sheet1!$F$6,D16=Sheet1!$G$6)
   ),
   CONCATENATE(SUM(E16:N16),"単位"),
   ""
  )
 )
)</f>
        <v>110TB</v>
      </c>
      <c r="P16" s="67" t="str">
        <f t="shared" si="0"/>
        <v>ストレージ大規模利用_個人ゲノム区画Quota設定のみ</v>
      </c>
      <c r="Q16" s="28">
        <f t="shared" si="1"/>
        <v>110</v>
      </c>
      <c r="R16" s="68">
        <f t="shared" si="2"/>
        <v>0</v>
      </c>
      <c r="S16" s="68">
        <f t="shared" si="3"/>
        <v>0</v>
      </c>
      <c r="T16" s="68">
        <f t="shared" si="4"/>
        <v>90</v>
      </c>
      <c r="U16" s="26">
        <f t="shared" si="7"/>
        <v>0</v>
      </c>
      <c r="V16" s="26">
        <f t="shared" si="8"/>
        <v>0</v>
      </c>
      <c r="W16" s="27">
        <f t="shared" si="9"/>
        <v>108493</v>
      </c>
      <c r="X16" s="71">
        <f t="shared" si="6"/>
        <v>108493</v>
      </c>
    </row>
    <row r="17" spans="1:24" ht="15.75" customHeight="1">
      <c r="A17" s="21">
        <v>46113</v>
      </c>
      <c r="B17" s="21">
        <v>46142</v>
      </c>
      <c r="C17" s="22" t="s">
        <v>63</v>
      </c>
      <c r="D17" s="23" t="s">
        <v>64</v>
      </c>
      <c r="E17" s="24">
        <v>2</v>
      </c>
      <c r="F17" s="24"/>
      <c r="G17" s="24"/>
      <c r="H17" s="24"/>
      <c r="I17" s="24"/>
      <c r="J17" s="24"/>
      <c r="K17" s="24"/>
      <c r="L17" s="24"/>
      <c r="M17" s="24"/>
      <c r="N17" s="24"/>
      <c r="O17" s="25" t="str">
        <f>IF(
 AND(SUM(E17:N17)&gt;0,OR(C17=Sheet1!$A$1,C17=Sheet1!$A$2)),
 CONCATENATE(SUM(E17:N17),"TB"),
 IF(
  AND(SUM(E17:N17)&gt;0,OR(C17=Sheet1!$A$6,C17=Sheet1!$A$3,C17=Sheet1!$A$7,C17=Sheet1!$A$4),D17=Sheet1!$H$6),
  CONCATENATE(SUM(E17:N17),"台"),
  IF(
   AND(
    SUM(E17:N17)&gt;0,
    OR(C17=Sheet1!$A$6,C17=Sheet1!$A$3,C17=Sheet1!$A$7,C17=Sheet1!$A$4,C17=Sheet1!$A$5),
    OR(D17=Sheet1!$B$6,D17=Sheet1!$C$6,D17=Sheet1!$D$6,D17=Sheet1!$E$6,D17=Sheet1!$F$6,D17=Sheet1!$G$6)
   ),
   CONCATENATE(SUM(E17:N17),"単位"),
   ""
  )
 )
)</f>
        <v>2単位</v>
      </c>
      <c r="P17" s="67" t="str">
        <f t="shared" si="0"/>
        <v>計算ノード占有利用_一般解析区画CPU最適化ノードType1(1単位 = 1CPUコア 8GBメモリ)</v>
      </c>
      <c r="Q17" s="68">
        <f t="shared" si="1"/>
        <v>2</v>
      </c>
      <c r="R17" s="68">
        <f t="shared" si="2"/>
        <v>30</v>
      </c>
      <c r="S17" s="68">
        <f t="shared" si="3"/>
        <v>0</v>
      </c>
      <c r="T17" s="68">
        <f t="shared" si="4"/>
        <v>0</v>
      </c>
      <c r="U17" s="26">
        <f t="shared" si="7"/>
        <v>1000</v>
      </c>
      <c r="V17" s="26">
        <f t="shared" si="8"/>
        <v>0</v>
      </c>
      <c r="W17" s="27">
        <f t="shared" si="9"/>
        <v>0</v>
      </c>
      <c r="X17" s="71">
        <f t="shared" si="6"/>
        <v>1000</v>
      </c>
    </row>
    <row r="18" spans="1:24" ht="15.75" customHeight="1">
      <c r="A18" s="21">
        <v>46296</v>
      </c>
      <c r="B18" s="21">
        <v>46326</v>
      </c>
      <c r="C18" s="22" t="s">
        <v>63</v>
      </c>
      <c r="D18" s="23" t="s">
        <v>65</v>
      </c>
      <c r="E18" s="24">
        <v>2</v>
      </c>
      <c r="F18" s="24"/>
      <c r="G18" s="24"/>
      <c r="H18" s="24"/>
      <c r="I18" s="24"/>
      <c r="J18" s="24"/>
      <c r="K18" s="24"/>
      <c r="L18" s="24"/>
      <c r="M18" s="24"/>
      <c r="N18" s="24"/>
      <c r="O18" s="25" t="str">
        <f>IF(
 AND(SUM(E18:N18)&gt;0,OR(C18=Sheet1!$A$1,C18=Sheet1!$A$2)),
 CONCATENATE(SUM(E18:N18),"TB"),
 IF(
  AND(SUM(E18:N18)&gt;0,OR(C18=Sheet1!$A$6,C18=Sheet1!$A$3,C18=Sheet1!$A$7,C18=Sheet1!$A$4),D18=Sheet1!$H$6),
  CONCATENATE(SUM(E18:N18),"台"),
  IF(
   AND(
    SUM(E18:N18)&gt;0,
    OR(C18=Sheet1!$A$6,C18=Sheet1!$A$3,C18=Sheet1!$A$7,C18=Sheet1!$A$4,C18=Sheet1!$A$5),
    OR(D18=Sheet1!$B$6,D18=Sheet1!$C$6,D18=Sheet1!$D$6,D18=Sheet1!$E$6,D18=Sheet1!$F$6,D18=Sheet1!$G$6)
   ),
   CONCATENATE(SUM(E18:N18),"単位"),
   ""
  )
 )
)</f>
        <v>2単位</v>
      </c>
      <c r="P18" s="67" t="str">
        <f t="shared" si="0"/>
        <v>計算ノード占有利用_一般解析区画Memory最適化ノードType2(1単位 = 64CPUコア 1TBメモリ)</v>
      </c>
      <c r="Q18" s="28">
        <f t="shared" si="1"/>
        <v>2</v>
      </c>
      <c r="R18" s="68">
        <f t="shared" si="2"/>
        <v>0</v>
      </c>
      <c r="S18" s="68">
        <f t="shared" si="3"/>
        <v>31</v>
      </c>
      <c r="T18" s="68">
        <f t="shared" si="4"/>
        <v>0</v>
      </c>
      <c r="U18" s="26">
        <f t="shared" si="7"/>
        <v>0</v>
      </c>
      <c r="V18" s="26">
        <f t="shared" si="8"/>
        <v>82666</v>
      </c>
      <c r="W18" s="27">
        <f t="shared" si="9"/>
        <v>0</v>
      </c>
      <c r="X18" s="71">
        <f t="shared" si="6"/>
        <v>82666</v>
      </c>
    </row>
    <row r="19" spans="1:24" ht="15.75" customHeight="1">
      <c r="A19" s="21">
        <v>46388</v>
      </c>
      <c r="B19" s="21">
        <v>46477</v>
      </c>
      <c r="C19" s="22" t="s">
        <v>66</v>
      </c>
      <c r="D19" s="23" t="s">
        <v>67</v>
      </c>
      <c r="E19" s="24">
        <v>2</v>
      </c>
      <c r="F19" s="24"/>
      <c r="G19" s="24"/>
      <c r="H19" s="24"/>
      <c r="I19" s="24"/>
      <c r="J19" s="24"/>
      <c r="K19" s="24"/>
      <c r="L19" s="24"/>
      <c r="M19" s="24"/>
      <c r="N19" s="24"/>
      <c r="O19" s="25" t="str">
        <f>IF(
 AND(SUM(E19:N19)&gt;0,OR(C19=Sheet1!$A$1,C19=Sheet1!$A$2)),
 CONCATENATE(SUM(E19:N19),"TB"),
 IF(
  AND(SUM(E19:N19)&gt;0,OR(C19=Sheet1!$A$6,C19=Sheet1!$A$3,C19=Sheet1!$A$7,C19=Sheet1!$A$4),D19=Sheet1!$H$6),
  CONCATENATE(SUM(E19:N19),"台"),
  IF(
   AND(
    SUM(E19:N19)&gt;0,
    OR(C19=Sheet1!$A$6,C19=Sheet1!$A$3,C19=Sheet1!$A$7,C19=Sheet1!$A$4,C19=Sheet1!$A$5),
    OR(D19=Sheet1!$B$6,D19=Sheet1!$C$6,D19=Sheet1!$D$6,D19=Sheet1!$E$6,D19=Sheet1!$F$6,D19=Sheet1!$G$6)
   ),
   CONCATENATE(SUM(E19:N19),"単位"),
   ""
  )
 )
)</f>
        <v>2単位</v>
      </c>
      <c r="P19" s="67" t="str">
        <f t="shared" si="0"/>
        <v>計算ノード占有利用_個人ゲノム区画CPU最適化ノードType2(1単位 = 1CPUコア 4GBメモリ)</v>
      </c>
      <c r="Q19" s="68">
        <f t="shared" si="1"/>
        <v>2</v>
      </c>
      <c r="R19" s="68">
        <f t="shared" si="2"/>
        <v>0</v>
      </c>
      <c r="S19" s="68">
        <f t="shared" si="3"/>
        <v>0</v>
      </c>
      <c r="T19" s="68">
        <f t="shared" si="4"/>
        <v>90</v>
      </c>
      <c r="U19" s="26">
        <f t="shared" si="7"/>
        <v>0</v>
      </c>
      <c r="V19" s="26">
        <f t="shared" si="8"/>
        <v>0</v>
      </c>
      <c r="W19" s="27">
        <f t="shared" si="9"/>
        <v>3000</v>
      </c>
      <c r="X19" s="71">
        <f t="shared" si="6"/>
        <v>3000</v>
      </c>
    </row>
    <row r="20" spans="1:24" ht="15.75" customHeight="1">
      <c r="A20" s="21">
        <v>46388</v>
      </c>
      <c r="B20" s="21">
        <v>46477</v>
      </c>
      <c r="C20" s="22" t="s">
        <v>66</v>
      </c>
      <c r="D20" s="23" t="s">
        <v>67</v>
      </c>
      <c r="E20" s="24">
        <v>2</v>
      </c>
      <c r="F20" s="29"/>
      <c r="G20" s="29"/>
      <c r="H20" s="29"/>
      <c r="I20" s="29"/>
      <c r="J20" s="29"/>
      <c r="K20" s="29"/>
      <c r="L20" s="29"/>
      <c r="M20" s="29"/>
      <c r="N20" s="29"/>
      <c r="O20" s="25" t="str">
        <f>IF(
 AND(SUM(E20:N20)&gt;0,OR(C20=Sheet1!$A$1,C20=Sheet1!$A$2)),
 CONCATENATE(SUM(E20:N20),"TB"),
 IF(
  AND(SUM(E20:N20)&gt;0,OR(C20=Sheet1!$A$6,C20=Sheet1!$A$3,C20=Sheet1!$A$7,C20=Sheet1!$A$4),D20=Sheet1!$H$6),
  CONCATENATE(SUM(E20:N20),"台"),
  IF(
   AND(
    SUM(E20:N20)&gt;0,
    OR(C20=Sheet1!$A$6,C20=Sheet1!$A$3,C20=Sheet1!$A$7,C20=Sheet1!$A$4,C20=Sheet1!$A$5),
    OR(D20=Sheet1!$B$6,D20=Sheet1!$C$6,D20=Sheet1!$D$6,D20=Sheet1!$E$6,D20=Sheet1!$F$6,D20=Sheet1!$G$6)
   ),
   CONCATENATE(SUM(E20:N20),"単位"),
   ""
  )
 )
)</f>
        <v>2単位</v>
      </c>
      <c r="P20" s="67" t="str">
        <f t="shared" si="0"/>
        <v>計算ノード占有利用_個人ゲノム区画CPU最適化ノードType2(1単位 = 1CPUコア 4GBメモリ)</v>
      </c>
      <c r="Q20" s="28">
        <f t="shared" si="1"/>
        <v>2</v>
      </c>
      <c r="R20" s="68">
        <f t="shared" si="2"/>
        <v>0</v>
      </c>
      <c r="S20" s="68">
        <f t="shared" si="3"/>
        <v>0</v>
      </c>
      <c r="T20" s="68">
        <f t="shared" si="4"/>
        <v>90</v>
      </c>
      <c r="U20" s="26">
        <f t="shared" si="7"/>
        <v>0</v>
      </c>
      <c r="V20" s="26">
        <f t="shared" si="8"/>
        <v>0</v>
      </c>
      <c r="W20" s="27">
        <f t="shared" si="9"/>
        <v>3000</v>
      </c>
      <c r="X20" s="71">
        <f t="shared" si="6"/>
        <v>3000</v>
      </c>
    </row>
    <row r="21" spans="1:24" ht="15.75" customHeight="1">
      <c r="A21" s="21">
        <v>46419</v>
      </c>
      <c r="B21" s="21">
        <v>46477</v>
      </c>
      <c r="C21" s="22" t="s">
        <v>66</v>
      </c>
      <c r="D21" s="23" t="s">
        <v>65</v>
      </c>
      <c r="E21" s="24">
        <v>2</v>
      </c>
      <c r="F21" s="29"/>
      <c r="G21" s="29"/>
      <c r="H21" s="29"/>
      <c r="I21" s="29"/>
      <c r="J21" s="29"/>
      <c r="K21" s="29"/>
      <c r="L21" s="29"/>
      <c r="M21" s="29"/>
      <c r="N21" s="29"/>
      <c r="O21" s="25" t="str">
        <f>IF(
 AND(SUM(E21:N21)&gt;0,OR(C21=Sheet1!$A$1,C21=Sheet1!$A$2)),
 CONCATENATE(SUM(E21:N21),"TB"),
 IF(
  AND(SUM(E21:N21)&gt;0,OR(C21=Sheet1!$A$6,C21=Sheet1!$A$3,C21=Sheet1!$A$7,C21=Sheet1!$A$4),D21=Sheet1!$H$6),
  CONCATENATE(SUM(E21:N21),"台"),
  IF(
   AND(
    SUM(E21:N21)&gt;0,
    OR(C21=Sheet1!$A$6,C21=Sheet1!$A$3,C21=Sheet1!$A$7,C21=Sheet1!$A$4,C21=Sheet1!$A$5),
    OR(D21=Sheet1!$B$6,D21=Sheet1!$C$6,D21=Sheet1!$D$6,D21=Sheet1!$E$6,D21=Sheet1!$F$6,D21=Sheet1!$G$6)
   ),
   CONCATENATE(SUM(E21:N21),"単位"),
   ""
  )
 )
)</f>
        <v>2単位</v>
      </c>
      <c r="P21" s="67" t="str">
        <f t="shared" si="0"/>
        <v>計算ノード占有利用_個人ゲノム区画Memory最適化ノードType2(1単位 = 64CPUコア 1TBメモリ)</v>
      </c>
      <c r="Q21" s="68">
        <f t="shared" si="1"/>
        <v>2</v>
      </c>
      <c r="R21" s="68">
        <f t="shared" si="2"/>
        <v>0</v>
      </c>
      <c r="S21" s="68">
        <f t="shared" si="3"/>
        <v>0</v>
      </c>
      <c r="T21" s="68">
        <f t="shared" si="4"/>
        <v>59</v>
      </c>
      <c r="U21" s="26">
        <f t="shared" si="7"/>
        <v>0</v>
      </c>
      <c r="V21" s="26">
        <f t="shared" si="8"/>
        <v>0</v>
      </c>
      <c r="W21" s="27">
        <f t="shared" si="9"/>
        <v>157333</v>
      </c>
      <c r="X21" s="71">
        <f t="shared" si="6"/>
        <v>157333</v>
      </c>
    </row>
    <row r="22" spans="1:24" ht="15.75" customHeight="1">
      <c r="A22" s="21">
        <v>46113</v>
      </c>
      <c r="B22" s="21">
        <v>46115</v>
      </c>
      <c r="C22" s="22" t="s">
        <v>68</v>
      </c>
      <c r="D22" s="23" t="s">
        <v>69</v>
      </c>
      <c r="E22" s="24">
        <v>1</v>
      </c>
      <c r="F22" s="24"/>
      <c r="G22" s="29"/>
      <c r="H22" s="24"/>
      <c r="I22" s="29"/>
      <c r="J22" s="24"/>
      <c r="K22" s="29"/>
      <c r="L22" s="24"/>
      <c r="M22" s="29"/>
      <c r="N22" s="24"/>
      <c r="O22" s="25" t="str">
        <f>IF(
 AND(SUM(E22:N22)&gt;0,OR(C22=Sheet1!$A$1,C22=Sheet1!$A$2)),
 CONCATENATE(SUM(E22:N22),"TB"),
 IF(
  AND(SUM(E22:N22)&gt;0,OR(C22=Sheet1!$A$6,C22=Sheet1!$A$3,C22=Sheet1!$A$7,C22=Sheet1!$A$4),D22=Sheet1!$H$6),
  CONCATENATE(SUM(E22:N22),"台"),
  IF(
   AND(
    SUM(E22:N22)&gt;0,
    OR(C22=Sheet1!$A$6,C22=Sheet1!$A$3,C22=Sheet1!$A$7,C22=Sheet1!$A$4,C22=Sheet1!$A$5),
    OR(D22=Sheet1!$B$6,D22=Sheet1!$C$6,D22=Sheet1!$D$6,D22=Sheet1!$E$6,D22=Sheet1!$F$6,D22=Sheet1!$G$6)
   ),
   CONCATENATE(SUM(E22:N22),"単位"),
   ""
  )
 )
)</f>
        <v>1単位</v>
      </c>
      <c r="P22" s="67" t="str">
        <f t="shared" si="0"/>
        <v>計算ノードGPU専用Slurm_個人ゲノム区画Accelerator最適化ノードType2(1単位 = 1GPU 16CPUコア 192GBメモリ)</v>
      </c>
      <c r="Q22" s="28">
        <f t="shared" si="1"/>
        <v>1</v>
      </c>
      <c r="R22" s="68">
        <f t="shared" si="2"/>
        <v>3</v>
      </c>
      <c r="S22" s="68">
        <f t="shared" si="3"/>
        <v>0</v>
      </c>
      <c r="T22" s="68">
        <f t="shared" si="4"/>
        <v>0</v>
      </c>
      <c r="U22" s="26">
        <f t="shared" si="7"/>
        <v>5625</v>
      </c>
      <c r="V22" s="26">
        <f t="shared" si="8"/>
        <v>0</v>
      </c>
      <c r="W22" s="27">
        <f t="shared" si="9"/>
        <v>0</v>
      </c>
      <c r="X22" s="71">
        <f t="shared" si="6"/>
        <v>5625</v>
      </c>
    </row>
    <row r="23" spans="1:24" ht="15.75" customHeight="1">
      <c r="A23" s="21"/>
      <c r="B23" s="21"/>
      <c r="C23" s="22"/>
      <c r="D23" s="23"/>
      <c r="E23" s="24"/>
      <c r="F23" s="29"/>
      <c r="G23" s="29"/>
      <c r="H23" s="29"/>
      <c r="I23" s="29"/>
      <c r="J23" s="29"/>
      <c r="K23" s="29"/>
      <c r="L23" s="29"/>
      <c r="M23" s="29"/>
      <c r="N23" s="29"/>
      <c r="O23" s="25" t="str">
        <f>IF(
 AND(SUM(E23:N23)&gt;0,OR(C23=Sheet1!$A$1,C23=Sheet1!$A$2)),
 CONCATENATE(SUM(E23:N23),"TB"),
 IF(
  AND(SUM(E23:N23)&gt;0,OR(C23=Sheet1!$A$6,C23=Sheet1!$A$3,C23=Sheet1!$A$7,C23=Sheet1!$A$4),D23=Sheet1!$H$6),
  CONCATENATE(SUM(E23:N23),"台"),
  IF(
   AND(
    SUM(E23:N23)&gt;0,
    OR(C23=Sheet1!$A$6,C23=Sheet1!$A$3,C23=Sheet1!$A$7,C23=Sheet1!$A$4,C23=Sheet1!$A$5),
    OR(D23=Sheet1!$B$6,D23=Sheet1!$C$6,D23=Sheet1!$D$6,D23=Sheet1!$E$6,D23=Sheet1!$F$6,D23=Sheet1!$G$6)
   ),
   CONCATENATE(SUM(E23:N23),"単位"),
   ""
  )
 )
)</f>
        <v/>
      </c>
      <c r="P23" s="67" t="str">
        <f t="shared" si="0"/>
        <v/>
      </c>
      <c r="Q23" s="68">
        <f t="shared" si="1"/>
        <v>0</v>
      </c>
      <c r="R23" s="68">
        <f t="shared" si="2"/>
        <v>0</v>
      </c>
      <c r="S23" s="68">
        <f t="shared" si="3"/>
        <v>0</v>
      </c>
      <c r="T23" s="68">
        <f t="shared" si="4"/>
        <v>0</v>
      </c>
      <c r="U23" s="26" t="str">
        <f t="shared" si="7"/>
        <v/>
      </c>
      <c r="V23" s="26" t="str">
        <f t="shared" si="8"/>
        <v/>
      </c>
      <c r="W23" s="27" t="str">
        <f t="shared" si="9"/>
        <v/>
      </c>
      <c r="X23" s="71" t="str">
        <f t="shared" si="6"/>
        <v/>
      </c>
    </row>
    <row r="24" spans="1:24" ht="15.75" customHeight="1">
      <c r="A24" s="21"/>
      <c r="B24" s="21"/>
      <c r="C24" s="22"/>
      <c r="D24" s="23"/>
      <c r="E24" s="24"/>
      <c r="F24" s="29"/>
      <c r="G24" s="29"/>
      <c r="H24" s="29"/>
      <c r="I24" s="29"/>
      <c r="J24" s="29"/>
      <c r="K24" s="29"/>
      <c r="L24" s="29"/>
      <c r="M24" s="29"/>
      <c r="N24" s="29"/>
      <c r="O24" s="25" t="str">
        <f>IF(
 AND(SUM(E24:N24)&gt;0,OR(C24=Sheet1!$A$1,C24=Sheet1!$A$2)),
 CONCATENATE(SUM(E24:N24),"TB"),
 IF(
  AND(SUM(E24:N24)&gt;0,OR(C24=Sheet1!$A$6,C24=Sheet1!$A$3,C24=Sheet1!$A$7,C24=Sheet1!$A$4),D24=Sheet1!$H$6),
  CONCATENATE(SUM(E24:N24),"台"),
  IF(
   AND(
    SUM(E24:N24)&gt;0,
    OR(C24=Sheet1!$A$6,C24=Sheet1!$A$3,C24=Sheet1!$A$7,C24=Sheet1!$A$4,C24=Sheet1!$A$5),
    OR(D24=Sheet1!$B$6,D24=Sheet1!$C$6,D24=Sheet1!$D$6,D24=Sheet1!$E$6,D24=Sheet1!$F$6,D24=Sheet1!$G$6)
   ),
   CONCATENATE(SUM(E24:N24),"単位"),
   ""
  )
 )
)</f>
        <v/>
      </c>
      <c r="P24" s="67" t="str">
        <f t="shared" si="0"/>
        <v/>
      </c>
      <c r="Q24" s="28">
        <f t="shared" si="1"/>
        <v>0</v>
      </c>
      <c r="R24" s="68">
        <f t="shared" si="2"/>
        <v>0</v>
      </c>
      <c r="S24" s="68">
        <f t="shared" si="3"/>
        <v>0</v>
      </c>
      <c r="T24" s="68">
        <f t="shared" si="4"/>
        <v>0</v>
      </c>
      <c r="U24" s="26" t="str">
        <f t="shared" si="7"/>
        <v/>
      </c>
      <c r="V24" s="26" t="str">
        <f t="shared" si="8"/>
        <v/>
      </c>
      <c r="W24" s="27" t="str">
        <f t="shared" si="9"/>
        <v/>
      </c>
      <c r="X24" s="71" t="str">
        <f t="shared" si="6"/>
        <v/>
      </c>
    </row>
    <row r="25" spans="1:24" ht="15.75" customHeight="1">
      <c r="A25" s="21"/>
      <c r="B25" s="21"/>
      <c r="C25" s="21"/>
      <c r="D25" s="30"/>
      <c r="E25" s="24"/>
      <c r="F25" s="29"/>
      <c r="G25" s="29"/>
      <c r="H25" s="29"/>
      <c r="I25" s="29"/>
      <c r="J25" s="29"/>
      <c r="K25" s="29"/>
      <c r="L25" s="29"/>
      <c r="M25" s="29"/>
      <c r="N25" s="29"/>
      <c r="O25" s="25" t="str">
        <f>IF(
 AND(SUM(E25:N25)&gt;0,OR(C25=Sheet1!$A$1,C25=Sheet1!$A$2)),
 CONCATENATE(SUM(E25:N25),"TB"),
 IF(
  AND(SUM(E25:N25)&gt;0,OR(C25=Sheet1!$A$6,C25=Sheet1!$A$3,C25=Sheet1!$A$7,C25=Sheet1!$A$4),D25=Sheet1!$H$6),
  CONCATENATE(SUM(E25:N25),"台"),
  IF(
   AND(
    SUM(E25:N25)&gt;0,
    OR(C25=Sheet1!$A$6,C25=Sheet1!$A$3,C25=Sheet1!$A$7,C25=Sheet1!$A$4,C25=Sheet1!$A$5),
    OR(D25=Sheet1!$B$6,D25=Sheet1!$C$6,D25=Sheet1!$D$6,D25=Sheet1!$E$6,D25=Sheet1!$F$6,D25=Sheet1!$G$6)
   ),
   CONCATENATE(SUM(E25:N25),"単位"),
   ""
  )
 )
)</f>
        <v/>
      </c>
      <c r="P25" s="67" t="str">
        <f t="shared" si="0"/>
        <v/>
      </c>
      <c r="Q25" s="68">
        <f t="shared" si="1"/>
        <v>0</v>
      </c>
      <c r="R25" s="68">
        <f t="shared" si="2"/>
        <v>0</v>
      </c>
      <c r="S25" s="68">
        <f t="shared" si="3"/>
        <v>0</v>
      </c>
      <c r="T25" s="68">
        <f t="shared" si="4"/>
        <v>0</v>
      </c>
      <c r="U25" s="26" t="str">
        <f t="shared" si="7"/>
        <v/>
      </c>
      <c r="V25" s="26" t="str">
        <f t="shared" si="8"/>
        <v/>
      </c>
      <c r="W25" s="27" t="str">
        <f t="shared" si="9"/>
        <v/>
      </c>
      <c r="X25" s="71" t="str">
        <f t="shared" si="6"/>
        <v/>
      </c>
    </row>
    <row r="26" spans="1:24" ht="15.75" customHeight="1" thickBot="1">
      <c r="A26" s="31"/>
      <c r="B26" s="31"/>
      <c r="C26" s="31"/>
      <c r="D26" s="69"/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25" t="str">
        <f>IF(
 AND(SUM(E26:N26)&gt;0,OR(C26=Sheet1!$A$1,C26=Sheet1!$A$2)),
 CONCATENATE(SUM(E26:N26),"TB"),
 IF(
  AND(SUM(E26:N26)&gt;0,OR(C26=Sheet1!$A$6,C26=Sheet1!$A$3,C26=Sheet1!$A$7,C26=Sheet1!$A$4),D26=Sheet1!$H$6),
  CONCATENATE(SUM(E26:N26),"台"),
  IF(
   AND(
    SUM(E26:N26)&gt;0,
    OR(C26=Sheet1!$A$6,C26=Sheet1!$A$3,C26=Sheet1!$A$7,C26=Sheet1!$A$4,C26=Sheet1!$A$5),
    OR(D26=Sheet1!$B$6,D26=Sheet1!$C$6,D26=Sheet1!$D$6,D26=Sheet1!$E$6,D26=Sheet1!$F$6,D26=Sheet1!$G$6)
   ),
   CONCATENATE(SUM(E26:N26),"単位"),
   ""
  )
 )
)</f>
        <v/>
      </c>
      <c r="P26" s="34" t="str">
        <f t="shared" si="0"/>
        <v/>
      </c>
      <c r="Q26" s="35">
        <f t="shared" si="1"/>
        <v>0</v>
      </c>
      <c r="R26" s="68">
        <f t="shared" si="2"/>
        <v>0</v>
      </c>
      <c r="S26" s="68">
        <f t="shared" si="3"/>
        <v>0</v>
      </c>
      <c r="T26" s="68">
        <f t="shared" si="4"/>
        <v>0</v>
      </c>
      <c r="U26" s="26" t="str">
        <f t="shared" si="7"/>
        <v/>
      </c>
      <c r="V26" s="26" t="str">
        <f t="shared" si="8"/>
        <v/>
      </c>
      <c r="W26" s="83" t="str">
        <f t="shared" si="9"/>
        <v/>
      </c>
      <c r="X26" s="36" t="str">
        <f t="shared" si="6"/>
        <v/>
      </c>
    </row>
    <row r="27" spans="1:24" ht="15.75" customHeight="1" thickTop="1">
      <c r="A27" s="239" t="s">
        <v>43</v>
      </c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1"/>
      <c r="P27" s="89"/>
      <c r="Q27" s="37"/>
      <c r="R27" s="37"/>
      <c r="S27" s="37"/>
      <c r="T27" s="37"/>
      <c r="U27" s="38">
        <f>SUMIFS(U12:U26,$C12:$C26,Sheet1!$A$6)</f>
        <v>0</v>
      </c>
      <c r="V27" s="38">
        <f>SUMIFS(V12:V26,$C12:$C26,Sheet1!$A$6)</f>
        <v>0</v>
      </c>
      <c r="W27" s="39">
        <f>SUMIFS(W12:W26,$C12:$C26,Sheet1!$A$6)</f>
        <v>0</v>
      </c>
      <c r="X27" s="40">
        <f t="shared" ref="X27:X33" si="10">SUM(U27:W27)</f>
        <v>0</v>
      </c>
    </row>
    <row r="28" spans="1:24" ht="15.75" customHeight="1">
      <c r="A28" s="242" t="s">
        <v>44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72"/>
      <c r="P28" s="86"/>
      <c r="U28" s="70">
        <f>SUMIFS(U12:U26,$C12:$C26,Sheet1!$A$3)</f>
        <v>1000</v>
      </c>
      <c r="V28" s="70">
        <f>SUMIFS(V12:V26,$C12:$C26,Sheet1!$A$3)</f>
        <v>82666</v>
      </c>
      <c r="W28" s="27">
        <f>SUMIFS(W12:W26,$C12:$C26,Sheet1!$A$3)</f>
        <v>0</v>
      </c>
      <c r="X28" s="41">
        <f t="shared" si="10"/>
        <v>83666</v>
      </c>
    </row>
    <row r="29" spans="1:24" ht="15.75" customHeight="1">
      <c r="A29" s="215" t="s">
        <v>45</v>
      </c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200"/>
      <c r="P29" s="86"/>
      <c r="U29" s="70">
        <f>SUMIFS(U12:U26,$C12:$C26,Sheet1!$A$7)</f>
        <v>0</v>
      </c>
      <c r="V29" s="70">
        <f>SUMIFS(V12:V26,$C12:$C26,Sheet1!$A$7)</f>
        <v>0</v>
      </c>
      <c r="W29" s="27">
        <f>SUMIFS(W12:W26,$C12:$C26,Sheet1!$A$7)</f>
        <v>0</v>
      </c>
      <c r="X29" s="41">
        <f t="shared" si="10"/>
        <v>0</v>
      </c>
    </row>
    <row r="30" spans="1:24" ht="15.75" customHeight="1">
      <c r="A30" s="215" t="s">
        <v>46</v>
      </c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200"/>
      <c r="P30" s="90"/>
      <c r="Q30" s="68"/>
      <c r="R30" s="68"/>
      <c r="S30" s="68"/>
      <c r="T30" s="68"/>
      <c r="U30" s="26">
        <f>SUMIFS(U12:U26,$C12:$C26,Sheet1!$A$4)</f>
        <v>0</v>
      </c>
      <c r="V30" s="70">
        <f>SUMIFS(V12:V26,$C12:$C26,Sheet1!$A$4)</f>
        <v>0</v>
      </c>
      <c r="W30" s="27">
        <f>SUMIFS(W12:W26,$C12:$C26,Sheet1!$A$4)</f>
        <v>163333</v>
      </c>
      <c r="X30" s="71">
        <f t="shared" si="10"/>
        <v>163333</v>
      </c>
    </row>
    <row r="31" spans="1:24" ht="15.75" customHeight="1">
      <c r="A31" s="215" t="s">
        <v>47</v>
      </c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200"/>
      <c r="P31" s="86"/>
      <c r="Q31" s="61"/>
      <c r="R31" s="61"/>
      <c r="S31" s="61"/>
      <c r="T31" s="61"/>
      <c r="U31" s="26">
        <f>SUMIFS(U12:U26,$C12:$C26,Sheet1!$A$5)</f>
        <v>5625</v>
      </c>
      <c r="V31" s="70">
        <f>SUMIFS(V12:V26,$C12:$C26,Sheet1!$A$5)</f>
        <v>0</v>
      </c>
      <c r="W31" s="27">
        <f>SUMIFS(W12:W26,$C12:$C26,Sheet1!$A$5)</f>
        <v>0</v>
      </c>
      <c r="X31" s="71">
        <f>SUM(U31:W31)</f>
        <v>5625</v>
      </c>
    </row>
    <row r="32" spans="1:24" ht="15.75" customHeight="1">
      <c r="A32" s="216" t="s">
        <v>48</v>
      </c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171"/>
      <c r="P32" s="86"/>
      <c r="U32" s="42">
        <f>SUMIFS(U12:U26,$C12:$C26,Sheet1!$A$1,$D12:$D26,Sheet1!$B$1)</f>
        <v>120328</v>
      </c>
      <c r="V32" s="42">
        <f>SUMIFS(V12:V26,$C12:$C26,Sheet1!$A$1,$D12:$D26,Sheet1!$B$1)</f>
        <v>120328</v>
      </c>
      <c r="W32" s="43">
        <f>SUMIFS(W12:W26,$C12:$C26,Sheet1!$A$1,$D12:$D26,Sheet1!$B$1)</f>
        <v>119342</v>
      </c>
      <c r="X32" s="72">
        <f t="shared" si="10"/>
        <v>359998</v>
      </c>
    </row>
    <row r="33" spans="1:24" ht="15.75" customHeight="1" thickBot="1">
      <c r="A33" s="228" t="s">
        <v>49</v>
      </c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1"/>
      <c r="P33" s="91"/>
      <c r="Q33" s="54"/>
      <c r="R33" s="54"/>
      <c r="S33" s="54"/>
      <c r="T33" s="54"/>
      <c r="U33" s="55">
        <f>SUMIFS(U12:U26,$C12:$C26,Sheet1!$A$2,$D12:$D26,Sheet1!$B$2)</f>
        <v>120328</v>
      </c>
      <c r="V33" s="56">
        <f>SUMIFS(V12:V26,$C12:$C26,Sheet1!$A$2,$D12:$D26,Sheet1!$B$2)</f>
        <v>94136</v>
      </c>
      <c r="W33" s="57">
        <f>SUMIFS(W12:W26,$C12:$C26,Sheet1!$A$2,$D12:$D26,Sheet1!$B$2)</f>
        <v>108493</v>
      </c>
      <c r="X33" s="56">
        <f t="shared" si="10"/>
        <v>322957</v>
      </c>
    </row>
    <row r="34" spans="1:24" ht="15.75" customHeight="1" thickTop="1" thickBot="1">
      <c r="A34" s="229" t="s">
        <v>51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1"/>
      <c r="P34" s="88"/>
      <c r="Q34" s="58"/>
      <c r="R34" s="58"/>
      <c r="S34" s="58"/>
      <c r="T34" s="58"/>
      <c r="U34" s="59">
        <f>ROUNDDOWN(SUM(U12:U26)*(消費税-1),0)</f>
        <v>24728</v>
      </c>
      <c r="V34" s="59">
        <f>ROUNDDOWN(SUM(V12:V26)*(消費税-1),0)</f>
        <v>29713</v>
      </c>
      <c r="W34" s="81">
        <f>ROUNDDOWN(SUM(W12:W26)*(消費税-1),0)</f>
        <v>39116</v>
      </c>
      <c r="X34" s="60">
        <f>SUM(U34:W34)</f>
        <v>93557</v>
      </c>
    </row>
    <row r="35" spans="1:24" ht="15.75" customHeight="1" thickTop="1">
      <c r="A35" s="232" t="s">
        <v>50</v>
      </c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4"/>
      <c r="P35" s="87"/>
      <c r="Q35" s="78"/>
      <c r="R35" s="78"/>
      <c r="S35" s="78"/>
      <c r="T35" s="78"/>
      <c r="U35" s="79">
        <f>SUM(U12:U26)+U34</f>
        <v>272009</v>
      </c>
      <c r="V35" s="79">
        <f t="shared" ref="V35:W35" si="11">SUM(V12:V26)+V34</f>
        <v>326843</v>
      </c>
      <c r="W35" s="82">
        <f t="shared" si="11"/>
        <v>430284</v>
      </c>
      <c r="X35" s="80">
        <f>SUM(X12:X26)+X34</f>
        <v>1029136</v>
      </c>
    </row>
    <row r="36" spans="1:24" ht="15.75" customHeight="1"/>
    <row r="37" spans="1:24" ht="18" customHeight="1"/>
    <row r="38" spans="1:24" ht="18" customHeight="1"/>
    <row r="39" spans="1:24" ht="18" customHeight="1"/>
    <row r="40" spans="1:24" ht="18" customHeight="1"/>
    <row r="41" spans="1:24" ht="18" customHeight="1"/>
    <row r="42" spans="1:24" ht="18" customHeight="1"/>
    <row r="43" spans="1:24" ht="18" customHeight="1"/>
    <row r="44" spans="1:24" ht="18" customHeight="1"/>
    <row r="45" spans="1:24" ht="18" customHeight="1"/>
    <row r="46" spans="1:24" ht="18" customHeight="1"/>
    <row r="47" spans="1:24" ht="18" customHeight="1"/>
    <row r="48" spans="1:2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0">
    <mergeCell ref="A33:O33"/>
    <mergeCell ref="A34:O34"/>
    <mergeCell ref="A35:O35"/>
    <mergeCell ref="E8:N8"/>
    <mergeCell ref="O8:O11"/>
    <mergeCell ref="E9:N9"/>
    <mergeCell ref="A27:O27"/>
    <mergeCell ref="A28:O28"/>
    <mergeCell ref="A29:O29"/>
    <mergeCell ref="A30:O30"/>
    <mergeCell ref="A8:A11"/>
    <mergeCell ref="B8:B11"/>
    <mergeCell ref="A2:X2"/>
    <mergeCell ref="A3:X3"/>
    <mergeCell ref="A4:X4"/>
    <mergeCell ref="A5:X5"/>
    <mergeCell ref="A7:X7"/>
    <mergeCell ref="Q8:Q11"/>
    <mergeCell ref="R8:R11"/>
    <mergeCell ref="X8:X11"/>
    <mergeCell ref="A31:O31"/>
    <mergeCell ref="A32:O32"/>
    <mergeCell ref="S8:S11"/>
    <mergeCell ref="T8:T11"/>
    <mergeCell ref="U8:U11"/>
    <mergeCell ref="V8:V11"/>
    <mergeCell ref="W8:W11"/>
    <mergeCell ref="C8:C11"/>
    <mergeCell ref="D8:D11"/>
    <mergeCell ref="P8:P11"/>
  </mergeCells>
  <phoneticPr fontId="13"/>
  <dataValidations count="2">
    <dataValidation type="list" allowBlank="1" showErrorMessage="1" sqref="D12:D26" xr:uid="{D559F160-6BE9-4131-8D56-C062D08CCB7E}">
      <formula1>INDIRECT(C12)</formula1>
    </dataValidation>
    <dataValidation type="list" allowBlank="1" showErrorMessage="1" sqref="C12:C26" xr:uid="{94A9FF14-1243-4222-A46C-330CCFBD6DDE}">
      <formula1>サービス</formula1>
    </dataValidation>
  </dataValidations>
  <pageMargins left="0.25" right="0.25" top="0.75" bottom="0.7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ABF8F"/>
    <pageSetUpPr fitToPage="1"/>
  </sheetPr>
  <dimension ref="A1:X1000"/>
  <sheetViews>
    <sheetView topLeftCell="A4" workbookViewId="0">
      <selection activeCell="A23" sqref="A23"/>
    </sheetView>
  </sheetViews>
  <sheetFormatPr defaultColWidth="14.44140625" defaultRowHeight="15" customHeight="1"/>
  <cols>
    <col min="1" max="2" width="12.33203125" customWidth="1"/>
    <col min="3" max="3" width="32.5546875" customWidth="1"/>
    <col min="4" max="4" width="45.33203125" customWidth="1"/>
    <col min="5" max="5" width="12.6640625" customWidth="1"/>
    <col min="6" max="6" width="13.44140625" customWidth="1"/>
    <col min="7" max="14" width="8.5546875" customWidth="1"/>
    <col min="15" max="15" width="15.33203125" customWidth="1"/>
    <col min="16" max="20" width="0.33203125" customWidth="1"/>
    <col min="21" max="23" width="15.33203125" customWidth="1"/>
    <col min="24" max="24" width="16" customWidth="1"/>
    <col min="25" max="26" width="8.6640625" customWidth="1"/>
  </cols>
  <sheetData>
    <row r="1" spans="1:24" ht="51" customHeight="1">
      <c r="A1" s="11">
        <v>2025</v>
      </c>
      <c r="B1" s="12" t="s">
        <v>20</v>
      </c>
      <c r="C1" s="13"/>
      <c r="D1" s="1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45" customHeight="1">
      <c r="A2" s="225" t="s">
        <v>21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200"/>
    </row>
    <row r="3" spans="1:24" ht="18" customHeight="1">
      <c r="A3" s="226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200"/>
    </row>
    <row r="4" spans="1:24" ht="15.75" customHeight="1">
      <c r="A4" s="227" t="s">
        <v>52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</row>
    <row r="5" spans="1:24" ht="15.75" customHeight="1">
      <c r="A5" s="227" t="s">
        <v>53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</row>
    <row r="6" spans="1:24" ht="15.75" customHeight="1">
      <c r="A6" s="15" t="s">
        <v>54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</row>
    <row r="7" spans="1:24" ht="15.75" customHeight="1">
      <c r="A7" s="227" t="s">
        <v>55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</row>
    <row r="8" spans="1:24" ht="15.75" customHeight="1">
      <c r="A8" s="222" t="s">
        <v>26</v>
      </c>
      <c r="B8" s="222" t="s">
        <v>27</v>
      </c>
      <c r="C8" s="222" t="s">
        <v>28</v>
      </c>
      <c r="D8" s="223" t="s">
        <v>29</v>
      </c>
      <c r="E8" s="235" t="s">
        <v>30</v>
      </c>
      <c r="F8" s="236"/>
      <c r="G8" s="236"/>
      <c r="H8" s="236"/>
      <c r="I8" s="236"/>
      <c r="J8" s="236"/>
      <c r="K8" s="236"/>
      <c r="L8" s="236"/>
      <c r="M8" s="236"/>
      <c r="N8" s="237"/>
      <c r="O8" s="238" t="s">
        <v>31</v>
      </c>
      <c r="P8" s="224" t="s">
        <v>32</v>
      </c>
      <c r="Q8" s="213" t="s">
        <v>31</v>
      </c>
      <c r="R8" s="213" t="s">
        <v>33</v>
      </c>
      <c r="S8" s="213" t="s">
        <v>34</v>
      </c>
      <c r="T8" s="213" t="s">
        <v>35</v>
      </c>
      <c r="U8" s="217" t="s">
        <v>36</v>
      </c>
      <c r="V8" s="218" t="s">
        <v>37</v>
      </c>
      <c r="W8" s="219" t="s">
        <v>38</v>
      </c>
      <c r="X8" s="214" t="s">
        <v>39</v>
      </c>
    </row>
    <row r="9" spans="1:24" ht="15.75" customHeight="1">
      <c r="A9" s="177"/>
      <c r="B9" s="177"/>
      <c r="C9" s="177"/>
      <c r="D9" s="171"/>
      <c r="E9" s="196" t="s">
        <v>12</v>
      </c>
      <c r="F9" s="182"/>
      <c r="G9" s="182"/>
      <c r="H9" s="182"/>
      <c r="I9" s="182"/>
      <c r="J9" s="182"/>
      <c r="K9" s="182"/>
      <c r="L9" s="182"/>
      <c r="M9" s="182"/>
      <c r="N9" s="172"/>
      <c r="O9" s="177"/>
      <c r="P9" s="187"/>
      <c r="Q9" s="209"/>
      <c r="R9" s="209"/>
      <c r="S9" s="209"/>
      <c r="T9" s="209"/>
      <c r="U9" s="177"/>
      <c r="V9" s="171"/>
      <c r="W9" s="220"/>
      <c r="X9" s="171"/>
    </row>
    <row r="10" spans="1:24" ht="15.75" customHeight="1">
      <c r="A10" s="177"/>
      <c r="B10" s="177"/>
      <c r="C10" s="177"/>
      <c r="D10" s="171"/>
      <c r="E10" s="44" t="s">
        <v>70</v>
      </c>
      <c r="F10" s="45" t="s">
        <v>71</v>
      </c>
      <c r="G10" s="16"/>
      <c r="H10" s="16"/>
      <c r="I10" s="16"/>
      <c r="J10" s="17"/>
      <c r="K10" s="17"/>
      <c r="L10" s="18"/>
      <c r="M10" s="17"/>
      <c r="N10" s="17"/>
      <c r="O10" s="177"/>
      <c r="P10" s="187"/>
      <c r="Q10" s="209"/>
      <c r="R10" s="209"/>
      <c r="S10" s="209"/>
      <c r="T10" s="209"/>
      <c r="U10" s="177"/>
      <c r="V10" s="171"/>
      <c r="W10" s="220"/>
      <c r="X10" s="171"/>
    </row>
    <row r="11" spans="1:24" ht="15.75" customHeight="1">
      <c r="A11" s="178"/>
      <c r="B11" s="178"/>
      <c r="C11" s="178"/>
      <c r="D11" s="172"/>
      <c r="E11" s="46" t="s">
        <v>59</v>
      </c>
      <c r="F11" s="46" t="s">
        <v>59</v>
      </c>
      <c r="G11" s="19"/>
      <c r="H11" s="19"/>
      <c r="I11" s="19"/>
      <c r="J11" s="48"/>
      <c r="K11" s="20"/>
      <c r="L11" s="66"/>
      <c r="M11" s="20"/>
      <c r="N11" s="20"/>
      <c r="O11" s="178"/>
      <c r="P11" s="188"/>
      <c r="Q11" s="182"/>
      <c r="R11" s="182"/>
      <c r="S11" s="182"/>
      <c r="T11" s="182"/>
      <c r="U11" s="178"/>
      <c r="V11" s="172"/>
      <c r="W11" s="221"/>
      <c r="X11" s="172"/>
    </row>
    <row r="12" spans="1:24" ht="15.75" customHeight="1">
      <c r="A12" s="21">
        <v>46113</v>
      </c>
      <c r="B12" s="21">
        <v>46295</v>
      </c>
      <c r="C12" s="22" t="s">
        <v>40</v>
      </c>
      <c r="D12" s="23" t="s">
        <v>41</v>
      </c>
      <c r="E12" s="24">
        <v>90</v>
      </c>
      <c r="F12" s="24">
        <v>20</v>
      </c>
      <c r="G12" s="24"/>
      <c r="H12" s="24"/>
      <c r="I12" s="24"/>
      <c r="J12" s="24"/>
      <c r="K12" s="24"/>
      <c r="L12" s="24"/>
      <c r="M12" s="24"/>
      <c r="N12" s="24"/>
      <c r="O12" s="25" t="str">
        <f>IF(
 AND(SUM(E12:N12)&gt;0,OR(C12=Sheet1!$A$1,C12=Sheet1!$A$2)),
 CONCATENATE(SUM(E12:N12),"TB"),
 IF(
  AND(SUM(E12:N12)&gt;0,OR(C12=Sheet1!$A$6,C12=Sheet1!$A$3,C12=Sheet1!$A$7,C12=Sheet1!$A$4),D12=Sheet1!$H$6),
  CONCATENATE(SUM(E12:N12),"台"),
  IF(
   AND(
    SUM(E12:N12)&gt;0,
    OR(C12=Sheet1!$A$6,C12=Sheet1!$A$3,C12=Sheet1!$A$7,C12=Sheet1!$A$4,C12=Sheet1!$A$5),
    OR(D12=Sheet1!$B$6,D12=Sheet1!$C$6,D12=Sheet1!$D$6,D12=Sheet1!$E$6,D12=Sheet1!$F$6,D12=Sheet1!$G$6)
   ),
   CONCATENATE(SUM(E12:N12),"単位"),
   ""
  )
 )
)</f>
        <v>110TB</v>
      </c>
      <c r="P12" s="67" t="str">
        <f t="shared" ref="P12:P26" si="0">C12&amp;D12</f>
        <v>ストレージ大規模利用_一般解析区画Quota設定のみ</v>
      </c>
      <c r="Q12" s="68">
        <f t="shared" ref="Q12:Q26" si="1">SUM(E12:N12)</f>
        <v>110</v>
      </c>
      <c r="R12" s="68">
        <f t="shared" ref="R12:R26" si="2">IF(AND($A12&lt;=DATE(年,4,1),$B12&gt;=DATE(年,7,31)),DATEDIF(DATE(年,4,1),DATE(年,7,31),"d")+1,IF(AND($A12&gt;DATE(年,4,1),$A12&lt;=DATE(年,7,31),$B12&gt;=DATE(年,7,31)),DATEDIF($A12,DATE(年,7,31),"d")+1,IF(AND($A12&lt;=DATE(年,4,1),$B12&gt;=DATE(年,4,1),$B12&lt;=DATE(年,7,31)),DATEDIF(DATE(年,4,1),$B12,"d")+1,IF(AND($A12&gt;=DATE(年,4,1),$A12&lt;=DATE(年,7,31),$B12&gt;=DATE(年,4,1),$B12&lt;=DATE(年,7,31)),DATEDIF(A12,B12,"d")+1,0))))</f>
        <v>122</v>
      </c>
      <c r="S12" s="68">
        <f t="shared" ref="S12:S26" si="3">IF(AND($A12&lt;=DATE(年,8,1),$B12&gt;=DATE(年,11,30)),DATEDIF(DATE(年,8,1),DATE(年,11,30),"d")+1,IF(AND($A12&gt;DATE(年,8,1),$A12&lt;=DATE(年,11,30),$B12&gt;=DATE(年,11,30)),DATEDIF($A12,DATE(年,11,30),"d")+1,IF(AND($A12&lt;=DATE(年,8,1),$B12&gt;=DATE(年,8,1),$B12&lt;=DATE(年,11,30)),DATEDIF(DATE(年,8,1),$B12,"d")+1,IF(AND($A12&gt;=DATE(年,8,1),$A12&lt;=DATE(年,11,30),$B12&gt;=DATE(年,8,1),$B12&lt;=DATE(年,11,30)),DATEDIF($A12,$B12,"d")+1,0))))</f>
        <v>61</v>
      </c>
      <c r="T12" s="68">
        <f t="shared" ref="T12:T26" si="4">IF(AND($A12&lt;=DATE(年,12,1),$B12&gt;=DATE(年+1,3,31)),DATEDIF(DATE(年,12,1),DATE(年+1,3,31),"d")+1,IF(AND($A12&gt;DATE(年,12,1),$A12&lt;=DATE(年+1,3,31),$B12&gt;=DATE(年+1,3,31)),DATEDIF($A12,DATE(年+1,3,31),"d")+1,IF(AND($A12&lt;=DATE(年,12,1),$B12&gt;=DATE(年,12,1),$B12&lt;=DATE(年+1,3,31)),DATEDIF(DATE(年,12,1),$B12,"d")+1,IF(AND(A12&gt;=DATE(年,12,1),$A12&lt;=DATE(年+1,3,31),$B12&gt;=DATE(年,12,1),$B12&lt;=DATE(年+1,3,31)),DATEDIF($A12,$B12,"d")+1,0))))</f>
        <v>0</v>
      </c>
      <c r="U12" s="26">
        <f t="shared" ref="U12:W12" si="5">IF(
 AND($P12=ストレージ一般解析Quota設定のみ,$Q12&lt;=30),0,IF(
  AND($P12=ストレージ一般解析Quota設定のみ,$Q12&gt;30),ROUNDDOWN(ROUNDUP($Q12/10,0)*ストレージ一般解析Quota設定のみ単価*(R12/年間日数),0),IF(
   AND($P12=ストレージ個人ゲノムQuota設定のみ),ROUNDDOWN(ROUNDUP($Q12/10,0)*ストレージ個人ゲノムQuota設定のみ単価*(R12/年間日数),0),IF(
    $D12=CPU1_,ROUNDDOWN(($Q12*CPU1単価*R12/30),0),IF(
     $D12=CPU2_,ROUNDDOWN(($Q12*CPU2単価*R12/30),0),IF(
      $D12=Mem1_,ROUNDDOWN(($Q12*Mem1単価*R12/30),0),IF(
       $D12=Mem2_,ROUNDDOWN(($Q12*Mem2単価*R12/30),0),IF(
        $D12=Acc1_,ROUNDDOWN(($Q12*Acc1単価*R12/30),0),IF(
         $D12=Acc2_,ROUNDDOWN(($Q12*Acc2単価*R12/30),0),IF(
          $D12=Acc3_,ROUNDDOWN(($Q12*Acc3単価*R12/30),0),""
         )
        )
       )
      )
     )
    )
   )
  )
 )
)</f>
        <v>147068</v>
      </c>
      <c r="V12" s="26">
        <f t="shared" si="5"/>
        <v>73534</v>
      </c>
      <c r="W12" s="27">
        <f t="shared" si="5"/>
        <v>0</v>
      </c>
      <c r="X12" s="71">
        <f t="shared" ref="X12:X26" si="6">IF(O12="","",SUM(U12:W12))</f>
        <v>220602</v>
      </c>
    </row>
    <row r="13" spans="1:24" ht="15.75" customHeight="1">
      <c r="A13" s="21">
        <v>46296</v>
      </c>
      <c r="B13" s="21">
        <v>46477</v>
      </c>
      <c r="C13" s="22" t="s">
        <v>40</v>
      </c>
      <c r="D13" s="23" t="s">
        <v>41</v>
      </c>
      <c r="E13" s="24">
        <v>90</v>
      </c>
      <c r="F13" s="24">
        <v>30</v>
      </c>
      <c r="G13" s="24"/>
      <c r="H13" s="24"/>
      <c r="I13" s="24"/>
      <c r="J13" s="24"/>
      <c r="K13" s="24"/>
      <c r="L13" s="24"/>
      <c r="M13" s="24"/>
      <c r="N13" s="24"/>
      <c r="O13" s="25" t="str">
        <f>IF(
 AND(SUM(E13:N13)&gt;0,OR(C13=Sheet1!$A$1,C13=Sheet1!$A$2)),
 CONCATENATE(SUM(E13:N13),"TB"),
 IF(
  AND(SUM(E13:N13)&gt;0,OR(C13=Sheet1!$A$6,C13=Sheet1!$A$3,C13=Sheet1!$A$7,C13=Sheet1!$A$4),D13=Sheet1!$H$6),
  CONCATENATE(SUM(E13:N13),"台"),
  IF(
   AND(
    SUM(E13:N13)&gt;0,
    OR(C13=Sheet1!$A$6,C13=Sheet1!$A$3,C13=Sheet1!$A$7,C13=Sheet1!$A$4,C13=Sheet1!$A$5),
    OR(D13=Sheet1!$B$6,D13=Sheet1!$C$6,D13=Sheet1!$D$6,D13=Sheet1!$E$6,D13=Sheet1!$F$6,D13=Sheet1!$G$6)
   ),
   CONCATENATE(SUM(E13:N13),"単位"),
   ""
  )
 )
)</f>
        <v>120TB</v>
      </c>
      <c r="P13" s="67" t="str">
        <f t="shared" si="0"/>
        <v>ストレージ大規模利用_一般解析区画Quota設定のみ</v>
      </c>
      <c r="Q13" s="68">
        <f t="shared" si="1"/>
        <v>120</v>
      </c>
      <c r="R13" s="68">
        <f t="shared" si="2"/>
        <v>0</v>
      </c>
      <c r="S13" s="68">
        <f t="shared" si="3"/>
        <v>61</v>
      </c>
      <c r="T13" s="68">
        <f t="shared" si="4"/>
        <v>121</v>
      </c>
      <c r="U13" s="26">
        <f t="shared" ref="U13:U26" si="7">IF(
 AND($P13=ストレージ一般解析Quota設定のみ,$Q13&lt;=30),0,IF(
  AND($P13=ストレージ一般解析Quota設定のみ,$Q13&gt;30),ROUNDDOWN(ROUNDUP($Q13/10,0)*ストレージ一般解析Quota設定のみ単価*(R13/年間日数),0),IF(
   AND($P13=ストレージ個人ゲノムQuota設定のみ),ROUNDDOWN(ROUNDUP($Q13/10,0)*ストレージ個人ゲノムQuota設定のみ単価*(R13/年間日数),0),IF(
    $D13=CPU1_,ROUNDDOWN(($Q13*CPU1単価*R13/30),0),IF(
     $D13=CPU2_,ROUNDDOWN(($Q13*CPU2単価*R13/30),0),IF(
      $D13=Mem1_,ROUNDDOWN(($Q13*Mem1単価*R13/30),0),IF(
       $D13=Mem2_,ROUNDDOWN(($Q13*Mem2単価*R13/30),0),IF(
        $D13=Acc1_,ROUNDDOWN(($Q13*Acc1単価*R13/30),0),IF(
         $D13=Acc2_,ROUNDDOWN(($Q13*Acc2単価*R13/30),0),IF(
          $D13=Acc3_,ROUNDDOWN(($Q13*Acc3単価*R13/30),0),""
         )
        )
       )
      )
     )
    )
   )
  )
 )
)</f>
        <v>0</v>
      </c>
      <c r="V13" s="26">
        <f t="shared" ref="V13:V26" si="8">IF(
 AND($P13=ストレージ一般解析Quota設定のみ,$Q13&lt;=30),0,IF(
  AND($P13=ストレージ一般解析Quota設定のみ,$Q13&gt;30),ROUNDDOWN(ROUNDUP($Q13/10,0)*ストレージ一般解析Quota設定のみ単価*(S13/年間日数),0),IF(
   AND($P13=ストレージ個人ゲノムQuota設定のみ),ROUNDDOWN(ROUNDUP($Q13/10,0)*ストレージ個人ゲノムQuota設定のみ単価*(S13/年間日数),0),IF(
    $D13=CPU1_,ROUNDDOWN(($Q13*CPU1単価*S13/30),0),IF(
     $D13=CPU2_,ROUNDDOWN(($Q13*CPU2単価*S13/30),0),IF(
      $D13=Mem1_,ROUNDDOWN(($Q13*Mem1単価*S13/30),0),IF(
       $D13=Mem2_,ROUNDDOWN(($Q13*Mem2単価*S13/30),0),IF(
        $D13=Acc1_,ROUNDDOWN(($Q13*Acc1単価*S13/30),0),IF(
         $D13=Acc2_,ROUNDDOWN(($Q13*Acc2単価*S13/30),0),IF(
          $D13=Acc3_,ROUNDDOWN(($Q13*Acc3単価*S13/30),0),""
         )
        )
       )
      )
     )
    )
   )
  )
 )
)</f>
        <v>80219</v>
      </c>
      <c r="W13" s="27">
        <f t="shared" ref="W13:W26" si="9">IF(
 AND($P13=ストレージ一般解析Quota設定のみ,$Q13&lt;=30),0,IF(
  AND($P13=ストレージ一般解析Quota設定のみ,$Q13&gt;30),ROUNDDOWN(ROUNDUP($Q13/10,0)*ストレージ一般解析Quota設定のみ単価*(T13/年間日数),0),IF(
   AND($P13=ストレージ個人ゲノムQuota設定のみ),ROUNDDOWN(ROUNDUP($Q13/10,0)*ストレージ個人ゲノムQuota設定のみ単価*(T13/年間日数),0),IF(
    $D13=CPU1_,ROUNDDOWN(($Q13*CPU1単価*T13/30),0),IF(
     $D13=CPU2_,ROUNDDOWN(($Q13*CPU2単価*T13/30),0),IF(
      $D13=Mem1_,ROUNDDOWN(($Q13*Mem1単価*T13/30),0),IF(
       $D13=Mem2_,ROUNDDOWN(($Q13*Mem2単価*T13/30),0),IF(
        $D13=Acc1_,ROUNDDOWN(($Q13*Acc1単価*T13/30),0),IF(
         $D13=Acc2_,ROUNDDOWN(($Q13*Acc2単価*T13/30),0),IF(
          $D13=Acc3_,ROUNDDOWN(($Q13*Acc3単価*T13/30),0),""
         )
        )
       )
      )
     )
    )
   )
  )
 )
)</f>
        <v>159123</v>
      </c>
      <c r="X13" s="71">
        <f t="shared" si="6"/>
        <v>239342</v>
      </c>
    </row>
    <row r="14" spans="1:24" ht="15.75" customHeight="1">
      <c r="A14" s="21">
        <v>46113</v>
      </c>
      <c r="B14" s="21">
        <v>46295</v>
      </c>
      <c r="C14" s="22" t="s">
        <v>62</v>
      </c>
      <c r="D14" s="23" t="s">
        <v>41</v>
      </c>
      <c r="E14" s="24">
        <v>90</v>
      </c>
      <c r="F14" s="24"/>
      <c r="G14" s="24"/>
      <c r="H14" s="24"/>
      <c r="I14" s="24"/>
      <c r="J14" s="24"/>
      <c r="K14" s="24"/>
      <c r="L14" s="24"/>
      <c r="M14" s="24"/>
      <c r="N14" s="24"/>
      <c r="O14" s="25" t="str">
        <f>IF(
 AND(SUM(E14:N14)&gt;0,OR(C14=Sheet1!$A$1,C14=Sheet1!$A$2)),
 CONCATENATE(SUM(E14:N14),"TB"),
 IF(
  AND(SUM(E14:N14)&gt;0,OR(C14=Sheet1!$A$6,C14=Sheet1!$A$3,C14=Sheet1!$A$7,C14=Sheet1!$A$4),D14=Sheet1!$H$6),
  CONCATENATE(SUM(E14:N14),"台"),
  IF(
   AND(
    SUM(E14:N14)&gt;0,
    OR(C14=Sheet1!$A$6,C14=Sheet1!$A$3,C14=Sheet1!$A$7,C14=Sheet1!$A$4,C14=Sheet1!$A$5),
    OR(D14=Sheet1!$B$6,D14=Sheet1!$C$6,D14=Sheet1!$D$6,D14=Sheet1!$E$6,D14=Sheet1!$F$6,D14=Sheet1!$G$6)
   ),
   CONCATENATE(SUM(E14:N14),"単位"),
   ""
  )
 )
)</f>
        <v>90TB</v>
      </c>
      <c r="P14" s="67" t="str">
        <f t="shared" si="0"/>
        <v>ストレージ大規模利用_個人ゲノム区画Quota設定のみ</v>
      </c>
      <c r="Q14" s="28">
        <f t="shared" si="1"/>
        <v>90</v>
      </c>
      <c r="R14" s="68">
        <f t="shared" si="2"/>
        <v>122</v>
      </c>
      <c r="S14" s="68">
        <f t="shared" si="3"/>
        <v>61</v>
      </c>
      <c r="T14" s="68">
        <f t="shared" si="4"/>
        <v>0</v>
      </c>
      <c r="U14" s="26">
        <f t="shared" si="7"/>
        <v>120328</v>
      </c>
      <c r="V14" s="26">
        <f t="shared" si="8"/>
        <v>60164</v>
      </c>
      <c r="W14" s="27">
        <f t="shared" si="9"/>
        <v>0</v>
      </c>
      <c r="X14" s="71">
        <f t="shared" si="6"/>
        <v>180492</v>
      </c>
    </row>
    <row r="15" spans="1:24" ht="15.75" customHeight="1">
      <c r="A15" s="21">
        <v>46296</v>
      </c>
      <c r="B15" s="21">
        <v>46326</v>
      </c>
      <c r="C15" s="22" t="s">
        <v>62</v>
      </c>
      <c r="D15" s="23" t="s">
        <v>41</v>
      </c>
      <c r="E15" s="24">
        <v>100</v>
      </c>
      <c r="F15" s="24"/>
      <c r="G15" s="24"/>
      <c r="H15" s="24"/>
      <c r="I15" s="24"/>
      <c r="J15" s="24"/>
      <c r="K15" s="24"/>
      <c r="L15" s="24"/>
      <c r="M15" s="24"/>
      <c r="N15" s="24"/>
      <c r="O15" s="25" t="str">
        <f>IF(
 AND(SUM(E15:N15)&gt;0,OR(C15=Sheet1!$A$1,C15=Sheet1!$A$2)),
 CONCATENATE(SUM(E15:N15),"TB"),
 IF(
  AND(SUM(E15:N15)&gt;0,OR(C15=Sheet1!$A$6,C15=Sheet1!$A$3,C15=Sheet1!$A$7,C15=Sheet1!$A$4),D15=Sheet1!$H$6),
  CONCATENATE(SUM(E15:N15),"台"),
  IF(
   AND(
    SUM(E15:N15)&gt;0,
    OR(C15=Sheet1!$A$6,C15=Sheet1!$A$3,C15=Sheet1!$A$7,C15=Sheet1!$A$4,C15=Sheet1!$A$5),
    OR(D15=Sheet1!$B$6,D15=Sheet1!$C$6,D15=Sheet1!$D$6,D15=Sheet1!$E$6,D15=Sheet1!$F$6,D15=Sheet1!$G$6)
   ),
   CONCATENATE(SUM(E15:N15),"単位"),
   ""
  )
 )
)</f>
        <v>100TB</v>
      </c>
      <c r="P15" s="67" t="str">
        <f t="shared" si="0"/>
        <v>ストレージ大規模利用_個人ゲノム区画Quota設定のみ</v>
      </c>
      <c r="Q15" s="68">
        <f t="shared" si="1"/>
        <v>100</v>
      </c>
      <c r="R15" s="68">
        <f t="shared" si="2"/>
        <v>0</v>
      </c>
      <c r="S15" s="68">
        <f t="shared" si="3"/>
        <v>31</v>
      </c>
      <c r="T15" s="68">
        <f t="shared" si="4"/>
        <v>0</v>
      </c>
      <c r="U15" s="26">
        <f t="shared" si="7"/>
        <v>0</v>
      </c>
      <c r="V15" s="26">
        <f t="shared" si="8"/>
        <v>33972</v>
      </c>
      <c r="W15" s="27">
        <f t="shared" si="9"/>
        <v>0</v>
      </c>
      <c r="X15" s="71">
        <f t="shared" si="6"/>
        <v>33972</v>
      </c>
    </row>
    <row r="16" spans="1:24" ht="15.75" customHeight="1">
      <c r="A16" s="21">
        <v>46388</v>
      </c>
      <c r="B16" s="21">
        <v>46477</v>
      </c>
      <c r="C16" s="22" t="s">
        <v>62</v>
      </c>
      <c r="D16" s="23" t="s">
        <v>41</v>
      </c>
      <c r="E16" s="24">
        <v>110</v>
      </c>
      <c r="F16" s="24"/>
      <c r="G16" s="24"/>
      <c r="H16" s="24"/>
      <c r="I16" s="24"/>
      <c r="J16" s="24"/>
      <c r="K16" s="24"/>
      <c r="L16" s="24"/>
      <c r="M16" s="24"/>
      <c r="N16" s="24"/>
      <c r="O16" s="25" t="str">
        <f>IF(
 AND(SUM(E16:N16)&gt;0,OR(C16=Sheet1!$A$1,C16=Sheet1!$A$2)),
 CONCATENATE(SUM(E16:N16),"TB"),
 IF(
  AND(SUM(E16:N16)&gt;0,OR(C16=Sheet1!$A$6,C16=Sheet1!$A$3,C16=Sheet1!$A$7,C16=Sheet1!$A$4),D16=Sheet1!$H$6),
  CONCATENATE(SUM(E16:N16),"台"),
  IF(
   AND(
    SUM(E16:N16)&gt;0,
    OR(C16=Sheet1!$A$6,C16=Sheet1!$A$3,C16=Sheet1!$A$7,C16=Sheet1!$A$4,C16=Sheet1!$A$5),
    OR(D16=Sheet1!$B$6,D16=Sheet1!$C$6,D16=Sheet1!$D$6,D16=Sheet1!$E$6,D16=Sheet1!$F$6,D16=Sheet1!$G$6)
   ),
   CONCATENATE(SUM(E16:N16),"単位"),
   ""
  )
 )
)</f>
        <v>110TB</v>
      </c>
      <c r="P16" s="67" t="str">
        <f t="shared" si="0"/>
        <v>ストレージ大規模利用_個人ゲノム区画Quota設定のみ</v>
      </c>
      <c r="Q16" s="28">
        <f t="shared" si="1"/>
        <v>110</v>
      </c>
      <c r="R16" s="68">
        <f t="shared" si="2"/>
        <v>0</v>
      </c>
      <c r="S16" s="68">
        <f t="shared" si="3"/>
        <v>0</v>
      </c>
      <c r="T16" s="68">
        <f t="shared" si="4"/>
        <v>90</v>
      </c>
      <c r="U16" s="26">
        <f t="shared" si="7"/>
        <v>0</v>
      </c>
      <c r="V16" s="26">
        <f t="shared" si="8"/>
        <v>0</v>
      </c>
      <c r="W16" s="27">
        <f t="shared" si="9"/>
        <v>108493</v>
      </c>
      <c r="X16" s="71">
        <f t="shared" si="6"/>
        <v>108493</v>
      </c>
    </row>
    <row r="17" spans="1:24" ht="15.75" customHeight="1">
      <c r="A17" s="21">
        <v>46113</v>
      </c>
      <c r="B17" s="21">
        <v>46142</v>
      </c>
      <c r="C17" s="22" t="s">
        <v>63</v>
      </c>
      <c r="D17" s="23" t="s">
        <v>64</v>
      </c>
      <c r="E17" s="24">
        <v>2</v>
      </c>
      <c r="F17" s="24"/>
      <c r="G17" s="24"/>
      <c r="H17" s="24"/>
      <c r="I17" s="24"/>
      <c r="J17" s="24"/>
      <c r="K17" s="24"/>
      <c r="L17" s="24"/>
      <c r="M17" s="24"/>
      <c r="N17" s="24"/>
      <c r="O17" s="25" t="str">
        <f>IF(
 AND(SUM(E17:N17)&gt;0,OR(C17=Sheet1!$A$1,C17=Sheet1!$A$2)),
 CONCATENATE(SUM(E17:N17),"TB"),
 IF(
  AND(SUM(E17:N17)&gt;0,OR(C17=Sheet1!$A$6,C17=Sheet1!$A$3,C17=Sheet1!$A$7,C17=Sheet1!$A$4),D17=Sheet1!$H$6),
  CONCATENATE(SUM(E17:N17),"台"),
  IF(
   AND(
    SUM(E17:N17)&gt;0,
    OR(C17=Sheet1!$A$6,C17=Sheet1!$A$3,C17=Sheet1!$A$7,C17=Sheet1!$A$4,C17=Sheet1!$A$5),
    OR(D17=Sheet1!$B$6,D17=Sheet1!$C$6,D17=Sheet1!$D$6,D17=Sheet1!$E$6,D17=Sheet1!$F$6,D17=Sheet1!$G$6)
   ),
   CONCATENATE(SUM(E17:N17),"単位"),
   ""
  )
 )
)</f>
        <v>2単位</v>
      </c>
      <c r="P17" s="67" t="str">
        <f t="shared" si="0"/>
        <v>計算ノード占有利用_一般解析区画CPU最適化ノードType1(1単位 = 1CPUコア 8GBメモリ)</v>
      </c>
      <c r="Q17" s="68">
        <f t="shared" si="1"/>
        <v>2</v>
      </c>
      <c r="R17" s="68">
        <f t="shared" si="2"/>
        <v>30</v>
      </c>
      <c r="S17" s="68">
        <f t="shared" si="3"/>
        <v>0</v>
      </c>
      <c r="T17" s="68">
        <f t="shared" si="4"/>
        <v>0</v>
      </c>
      <c r="U17" s="26">
        <f t="shared" si="7"/>
        <v>1000</v>
      </c>
      <c r="V17" s="26">
        <f t="shared" si="8"/>
        <v>0</v>
      </c>
      <c r="W17" s="27">
        <f t="shared" si="9"/>
        <v>0</v>
      </c>
      <c r="X17" s="71">
        <f t="shared" si="6"/>
        <v>1000</v>
      </c>
    </row>
    <row r="18" spans="1:24" ht="15.75" customHeight="1">
      <c r="A18" s="21">
        <v>46296</v>
      </c>
      <c r="B18" s="21">
        <v>46326</v>
      </c>
      <c r="C18" s="22" t="s">
        <v>63</v>
      </c>
      <c r="D18" s="23" t="s">
        <v>65</v>
      </c>
      <c r="E18" s="24">
        <v>2</v>
      </c>
      <c r="F18" s="24"/>
      <c r="G18" s="24"/>
      <c r="H18" s="24"/>
      <c r="I18" s="24"/>
      <c r="J18" s="24"/>
      <c r="K18" s="24"/>
      <c r="L18" s="24"/>
      <c r="M18" s="24"/>
      <c r="N18" s="24"/>
      <c r="O18" s="25" t="str">
        <f>IF(
 AND(SUM(E18:N18)&gt;0,OR(C18=Sheet1!$A$1,C18=Sheet1!$A$2)),
 CONCATENATE(SUM(E18:N18),"TB"),
 IF(
  AND(SUM(E18:N18)&gt;0,OR(C18=Sheet1!$A$6,C18=Sheet1!$A$3,C18=Sheet1!$A$7,C18=Sheet1!$A$4),D18=Sheet1!$H$6),
  CONCATENATE(SUM(E18:N18),"台"),
  IF(
   AND(
    SUM(E18:N18)&gt;0,
    OR(C18=Sheet1!$A$6,C18=Sheet1!$A$3,C18=Sheet1!$A$7,C18=Sheet1!$A$4,C18=Sheet1!$A$5),
    OR(D18=Sheet1!$B$6,D18=Sheet1!$C$6,D18=Sheet1!$D$6,D18=Sheet1!$E$6,D18=Sheet1!$F$6,D18=Sheet1!$G$6)
   ),
   CONCATENATE(SUM(E18:N18),"単位"),
   ""
  )
 )
)</f>
        <v>2単位</v>
      </c>
      <c r="P18" s="67" t="str">
        <f t="shared" si="0"/>
        <v>計算ノード占有利用_一般解析区画Memory最適化ノードType2(1単位 = 64CPUコア 1TBメモリ)</v>
      </c>
      <c r="Q18" s="28">
        <f t="shared" si="1"/>
        <v>2</v>
      </c>
      <c r="R18" s="68">
        <f t="shared" si="2"/>
        <v>0</v>
      </c>
      <c r="S18" s="68">
        <f t="shared" si="3"/>
        <v>31</v>
      </c>
      <c r="T18" s="68">
        <f t="shared" si="4"/>
        <v>0</v>
      </c>
      <c r="U18" s="26">
        <f t="shared" si="7"/>
        <v>0</v>
      </c>
      <c r="V18" s="26">
        <f t="shared" si="8"/>
        <v>82666</v>
      </c>
      <c r="W18" s="27">
        <f t="shared" si="9"/>
        <v>0</v>
      </c>
      <c r="X18" s="71">
        <f t="shared" si="6"/>
        <v>82666</v>
      </c>
    </row>
    <row r="19" spans="1:24" ht="15.75" customHeight="1">
      <c r="A19" s="21">
        <v>46388</v>
      </c>
      <c r="B19" s="21">
        <v>46477</v>
      </c>
      <c r="C19" s="22" t="s">
        <v>66</v>
      </c>
      <c r="D19" s="23" t="s">
        <v>67</v>
      </c>
      <c r="E19" s="24">
        <v>5</v>
      </c>
      <c r="F19" s="24"/>
      <c r="G19" s="24"/>
      <c r="H19" s="24"/>
      <c r="I19" s="24"/>
      <c r="J19" s="24"/>
      <c r="K19" s="24"/>
      <c r="L19" s="24"/>
      <c r="M19" s="24"/>
      <c r="N19" s="24"/>
      <c r="O19" s="25" t="str">
        <f>IF(
 AND(SUM(E19:N19)&gt;0,OR(C19=Sheet1!$A$1,C19=Sheet1!$A$2)),
 CONCATENATE(SUM(E19:N19),"TB"),
 IF(
  AND(SUM(E19:N19)&gt;0,OR(C19=Sheet1!$A$6,C19=Sheet1!$A$3,C19=Sheet1!$A$7,C19=Sheet1!$A$4),D19=Sheet1!$H$6),
  CONCATENATE(SUM(E19:N19),"台"),
  IF(
   AND(
    SUM(E19:N19)&gt;0,
    OR(C19=Sheet1!$A$6,C19=Sheet1!$A$3,C19=Sheet1!$A$7,C19=Sheet1!$A$4,C19=Sheet1!$A$5),
    OR(D19=Sheet1!$B$6,D19=Sheet1!$C$6,D19=Sheet1!$D$6,D19=Sheet1!$E$6,D19=Sheet1!$F$6,D19=Sheet1!$G$6)
   ),
   CONCATENATE(SUM(E19:N19),"単位"),
   ""
  )
 )
)</f>
        <v>5単位</v>
      </c>
      <c r="P19" s="67" t="str">
        <f t="shared" si="0"/>
        <v>計算ノード占有利用_個人ゲノム区画CPU最適化ノードType2(1単位 = 1CPUコア 4GBメモリ)</v>
      </c>
      <c r="Q19" s="68">
        <f t="shared" si="1"/>
        <v>5</v>
      </c>
      <c r="R19" s="68">
        <f t="shared" si="2"/>
        <v>0</v>
      </c>
      <c r="S19" s="68">
        <f t="shared" si="3"/>
        <v>0</v>
      </c>
      <c r="T19" s="68">
        <f t="shared" si="4"/>
        <v>90</v>
      </c>
      <c r="U19" s="26">
        <f t="shared" si="7"/>
        <v>0</v>
      </c>
      <c r="V19" s="26">
        <f t="shared" si="8"/>
        <v>0</v>
      </c>
      <c r="W19" s="27">
        <f t="shared" si="9"/>
        <v>7500</v>
      </c>
      <c r="X19" s="71">
        <f t="shared" si="6"/>
        <v>7500</v>
      </c>
    </row>
    <row r="20" spans="1:24" ht="15.75" customHeight="1">
      <c r="A20" s="21">
        <v>46388</v>
      </c>
      <c r="B20" s="21">
        <v>46477</v>
      </c>
      <c r="C20" s="22" t="s">
        <v>66</v>
      </c>
      <c r="D20" s="23" t="s">
        <v>67</v>
      </c>
      <c r="E20" s="24">
        <v>5</v>
      </c>
      <c r="F20" s="29"/>
      <c r="G20" s="29"/>
      <c r="H20" s="29"/>
      <c r="I20" s="29"/>
      <c r="J20" s="29"/>
      <c r="K20" s="29"/>
      <c r="L20" s="29"/>
      <c r="M20" s="29"/>
      <c r="N20" s="29"/>
      <c r="O20" s="25" t="str">
        <f>IF(
 AND(SUM(E20:N20)&gt;0,OR(C20=Sheet1!$A$1,C20=Sheet1!$A$2)),
 CONCATENATE(SUM(E20:N20),"TB"),
 IF(
  AND(SUM(E20:N20)&gt;0,OR(C20=Sheet1!$A$6,C20=Sheet1!$A$3,C20=Sheet1!$A$7,C20=Sheet1!$A$4),D20=Sheet1!$H$6),
  CONCATENATE(SUM(E20:N20),"台"),
  IF(
   AND(
    SUM(E20:N20)&gt;0,
    OR(C20=Sheet1!$A$6,C20=Sheet1!$A$3,C20=Sheet1!$A$7,C20=Sheet1!$A$4,C20=Sheet1!$A$5),
    OR(D20=Sheet1!$B$6,D20=Sheet1!$C$6,D20=Sheet1!$D$6,D20=Sheet1!$E$6,D20=Sheet1!$F$6,D20=Sheet1!$G$6)
   ),
   CONCATENATE(SUM(E20:N20),"単位"),
   ""
  )
 )
)</f>
        <v>5単位</v>
      </c>
      <c r="P20" s="67" t="str">
        <f t="shared" si="0"/>
        <v>計算ノード占有利用_個人ゲノム区画CPU最適化ノードType2(1単位 = 1CPUコア 4GBメモリ)</v>
      </c>
      <c r="Q20" s="28">
        <f t="shared" si="1"/>
        <v>5</v>
      </c>
      <c r="R20" s="68">
        <f t="shared" si="2"/>
        <v>0</v>
      </c>
      <c r="S20" s="68">
        <f t="shared" si="3"/>
        <v>0</v>
      </c>
      <c r="T20" s="68">
        <f t="shared" si="4"/>
        <v>90</v>
      </c>
      <c r="U20" s="26">
        <f t="shared" si="7"/>
        <v>0</v>
      </c>
      <c r="V20" s="26">
        <f t="shared" si="8"/>
        <v>0</v>
      </c>
      <c r="W20" s="27">
        <f t="shared" si="9"/>
        <v>7500</v>
      </c>
      <c r="X20" s="71">
        <f t="shared" si="6"/>
        <v>7500</v>
      </c>
    </row>
    <row r="21" spans="1:24" ht="15.75" customHeight="1">
      <c r="A21" s="21">
        <v>46419</v>
      </c>
      <c r="B21" s="21">
        <v>46477</v>
      </c>
      <c r="C21" s="22" t="s">
        <v>66</v>
      </c>
      <c r="D21" s="23" t="s">
        <v>65</v>
      </c>
      <c r="E21" s="24">
        <v>5</v>
      </c>
      <c r="F21" s="29"/>
      <c r="G21" s="29"/>
      <c r="H21" s="29"/>
      <c r="I21" s="29"/>
      <c r="J21" s="29"/>
      <c r="K21" s="29"/>
      <c r="L21" s="29"/>
      <c r="M21" s="29"/>
      <c r="N21" s="29"/>
      <c r="O21" s="25" t="str">
        <f>IF(
 AND(SUM(E21:N21)&gt;0,OR(C21=Sheet1!$A$1,C21=Sheet1!$A$2)),
 CONCATENATE(SUM(E21:N21),"TB"),
 IF(
  AND(SUM(E21:N21)&gt;0,OR(C21=Sheet1!$A$6,C21=Sheet1!$A$3,C21=Sheet1!$A$7,C21=Sheet1!$A$4),D21=Sheet1!$H$6),
  CONCATENATE(SUM(E21:N21),"台"),
  IF(
   AND(
    SUM(E21:N21)&gt;0,
    OR(C21=Sheet1!$A$6,C21=Sheet1!$A$3,C21=Sheet1!$A$7,C21=Sheet1!$A$4,C21=Sheet1!$A$5),
    OR(D21=Sheet1!$B$6,D21=Sheet1!$C$6,D21=Sheet1!$D$6,D21=Sheet1!$E$6,D21=Sheet1!$F$6,D21=Sheet1!$G$6)
   ),
   CONCATENATE(SUM(E21:N21),"単位"),
   ""
  )
 )
)</f>
        <v>5単位</v>
      </c>
      <c r="P21" s="67" t="str">
        <f t="shared" si="0"/>
        <v>計算ノード占有利用_個人ゲノム区画Memory最適化ノードType2(1単位 = 64CPUコア 1TBメモリ)</v>
      </c>
      <c r="Q21" s="68">
        <f t="shared" si="1"/>
        <v>5</v>
      </c>
      <c r="R21" s="68">
        <f t="shared" si="2"/>
        <v>0</v>
      </c>
      <c r="S21" s="68">
        <f t="shared" si="3"/>
        <v>0</v>
      </c>
      <c r="T21" s="68">
        <f t="shared" si="4"/>
        <v>59</v>
      </c>
      <c r="U21" s="26">
        <f t="shared" si="7"/>
        <v>0</v>
      </c>
      <c r="V21" s="26">
        <f t="shared" si="8"/>
        <v>0</v>
      </c>
      <c r="W21" s="27">
        <f t="shared" si="9"/>
        <v>393333</v>
      </c>
      <c r="X21" s="71">
        <f t="shared" si="6"/>
        <v>393333</v>
      </c>
    </row>
    <row r="22" spans="1:24" ht="15.75" customHeight="1">
      <c r="A22" s="21">
        <v>46204</v>
      </c>
      <c r="B22" s="21">
        <v>46206</v>
      </c>
      <c r="C22" s="22" t="s">
        <v>68</v>
      </c>
      <c r="D22" s="23" t="s">
        <v>69</v>
      </c>
      <c r="E22" s="24">
        <v>1</v>
      </c>
      <c r="F22" s="24"/>
      <c r="G22" s="29"/>
      <c r="H22" s="24"/>
      <c r="I22" s="29"/>
      <c r="J22" s="24"/>
      <c r="K22" s="29"/>
      <c r="L22" s="24"/>
      <c r="M22" s="29"/>
      <c r="N22" s="24"/>
      <c r="O22" s="25" t="str">
        <f>IF(
 AND(SUM(E22:N22)&gt;0,OR(C22=Sheet1!$A$1,C22=Sheet1!$A$2)),
 CONCATENATE(SUM(E22:N22),"TB"),
 IF(
  AND(SUM(E22:N22)&gt;0,OR(C22=Sheet1!$A$6,C22=Sheet1!$A$3,C22=Sheet1!$A$7,C22=Sheet1!$A$4),D22=Sheet1!$H$6),
  CONCATENATE(SUM(E22:N22),"台"),
  IF(
   AND(
    SUM(E22:N22)&gt;0,
    OR(C22=Sheet1!$A$6,C22=Sheet1!$A$3,C22=Sheet1!$A$7,C22=Sheet1!$A$4,C22=Sheet1!$A$5),
    OR(D22=Sheet1!$B$6,D22=Sheet1!$C$6,D22=Sheet1!$D$6,D22=Sheet1!$E$6,D22=Sheet1!$F$6,D22=Sheet1!$G$6)
   ),
   CONCATENATE(SUM(E22:N22),"単位"),
   ""
  )
 )
)</f>
        <v>1単位</v>
      </c>
      <c r="P22" s="67" t="str">
        <f t="shared" si="0"/>
        <v>計算ノードGPU専用Slurm_個人ゲノム区画Accelerator最適化ノードType2(1単位 = 1GPU 16CPUコア 192GBメモリ)</v>
      </c>
      <c r="Q22" s="28">
        <f t="shared" si="1"/>
        <v>1</v>
      </c>
      <c r="R22" s="68">
        <f t="shared" si="2"/>
        <v>3</v>
      </c>
      <c r="S22" s="68">
        <f t="shared" si="3"/>
        <v>0</v>
      </c>
      <c r="T22" s="68">
        <f t="shared" si="4"/>
        <v>0</v>
      </c>
      <c r="U22" s="26">
        <f t="shared" si="7"/>
        <v>5625</v>
      </c>
      <c r="V22" s="26">
        <f t="shared" si="8"/>
        <v>0</v>
      </c>
      <c r="W22" s="27">
        <f t="shared" si="9"/>
        <v>0</v>
      </c>
      <c r="X22" s="71">
        <f t="shared" si="6"/>
        <v>5625</v>
      </c>
    </row>
    <row r="23" spans="1:24" ht="15.75" customHeight="1">
      <c r="A23" s="21"/>
      <c r="B23" s="21"/>
      <c r="C23" s="22"/>
      <c r="D23" s="23"/>
      <c r="E23" s="24"/>
      <c r="F23" s="29"/>
      <c r="G23" s="29"/>
      <c r="H23" s="29"/>
      <c r="I23" s="29"/>
      <c r="J23" s="29"/>
      <c r="K23" s="29"/>
      <c r="L23" s="29"/>
      <c r="M23" s="29"/>
      <c r="N23" s="29"/>
      <c r="O23" s="25" t="str">
        <f>IF(
 AND(SUM(E23:N23)&gt;0,OR(C23=Sheet1!$A$1,C23=Sheet1!$A$2)),
 CONCATENATE(SUM(E23:N23),"TB"),
 IF(
  AND(SUM(E23:N23)&gt;0,OR(C23=Sheet1!$A$6,C23=Sheet1!$A$3,C23=Sheet1!$A$7,C23=Sheet1!$A$4),D23=Sheet1!$H$6),
  CONCATENATE(SUM(E23:N23),"台"),
  IF(
   AND(
    SUM(E23:N23)&gt;0,
    OR(C23=Sheet1!$A$6,C23=Sheet1!$A$3,C23=Sheet1!$A$7,C23=Sheet1!$A$4,C23=Sheet1!$A$5),
    OR(D23=Sheet1!$B$6,D23=Sheet1!$C$6,D23=Sheet1!$D$6,D23=Sheet1!$E$6,D23=Sheet1!$F$6,D23=Sheet1!$G$6)
   ),
   CONCATENATE(SUM(E23:N23),"単位"),
   ""
  )
 )
)</f>
        <v/>
      </c>
      <c r="P23" s="67" t="str">
        <f t="shared" si="0"/>
        <v/>
      </c>
      <c r="Q23" s="68">
        <f t="shared" si="1"/>
        <v>0</v>
      </c>
      <c r="R23" s="68">
        <f t="shared" si="2"/>
        <v>0</v>
      </c>
      <c r="S23" s="68">
        <f t="shared" si="3"/>
        <v>0</v>
      </c>
      <c r="T23" s="68">
        <f t="shared" si="4"/>
        <v>0</v>
      </c>
      <c r="U23" s="26" t="str">
        <f t="shared" si="7"/>
        <v/>
      </c>
      <c r="V23" s="26" t="str">
        <f t="shared" si="8"/>
        <v/>
      </c>
      <c r="W23" s="27" t="str">
        <f t="shared" si="9"/>
        <v/>
      </c>
      <c r="X23" s="71" t="str">
        <f t="shared" si="6"/>
        <v/>
      </c>
    </row>
    <row r="24" spans="1:24" ht="15.75" customHeight="1">
      <c r="A24" s="21"/>
      <c r="B24" s="21"/>
      <c r="C24" s="22"/>
      <c r="D24" s="23"/>
      <c r="E24" s="24"/>
      <c r="F24" s="29"/>
      <c r="G24" s="29"/>
      <c r="H24" s="29"/>
      <c r="I24" s="29"/>
      <c r="J24" s="29"/>
      <c r="K24" s="29"/>
      <c r="L24" s="29"/>
      <c r="M24" s="29"/>
      <c r="N24" s="29"/>
      <c r="O24" s="25" t="str">
        <f>IF(
 AND(SUM(E24:N24)&gt;0,OR(C24=Sheet1!$A$1,C24=Sheet1!$A$2)),
 CONCATENATE(SUM(E24:N24),"TB"),
 IF(
  AND(SUM(E24:N24)&gt;0,OR(C24=Sheet1!$A$6,C24=Sheet1!$A$3,C24=Sheet1!$A$7,C24=Sheet1!$A$4),D24=Sheet1!$H$6),
  CONCATENATE(SUM(E24:N24),"台"),
  IF(
   AND(
    SUM(E24:N24)&gt;0,
    OR(C24=Sheet1!$A$6,C24=Sheet1!$A$3,C24=Sheet1!$A$7,C24=Sheet1!$A$4,C24=Sheet1!$A$5),
    OR(D24=Sheet1!$B$6,D24=Sheet1!$C$6,D24=Sheet1!$D$6,D24=Sheet1!$E$6,D24=Sheet1!$F$6,D24=Sheet1!$G$6)
   ),
   CONCATENATE(SUM(E24:N24),"単位"),
   ""
  )
 )
)</f>
        <v/>
      </c>
      <c r="P24" s="67" t="str">
        <f t="shared" si="0"/>
        <v/>
      </c>
      <c r="Q24" s="28">
        <f t="shared" si="1"/>
        <v>0</v>
      </c>
      <c r="R24" s="68">
        <f t="shared" si="2"/>
        <v>0</v>
      </c>
      <c r="S24" s="68">
        <f t="shared" si="3"/>
        <v>0</v>
      </c>
      <c r="T24" s="68">
        <f t="shared" si="4"/>
        <v>0</v>
      </c>
      <c r="U24" s="26" t="str">
        <f t="shared" si="7"/>
        <v/>
      </c>
      <c r="V24" s="26" t="str">
        <f t="shared" si="8"/>
        <v/>
      </c>
      <c r="W24" s="27" t="str">
        <f t="shared" si="9"/>
        <v/>
      </c>
      <c r="X24" s="71" t="str">
        <f t="shared" si="6"/>
        <v/>
      </c>
    </row>
    <row r="25" spans="1:24" ht="15.75" customHeight="1">
      <c r="A25" s="21"/>
      <c r="B25" s="21"/>
      <c r="C25" s="21"/>
      <c r="D25" s="30"/>
      <c r="E25" s="24"/>
      <c r="F25" s="29"/>
      <c r="G25" s="29"/>
      <c r="H25" s="29"/>
      <c r="I25" s="29"/>
      <c r="J25" s="29"/>
      <c r="K25" s="29"/>
      <c r="L25" s="29"/>
      <c r="M25" s="29"/>
      <c r="N25" s="29"/>
      <c r="O25" s="25" t="str">
        <f>IF(
 AND(SUM(E25:N25)&gt;0,OR(C25=Sheet1!$A$1,C25=Sheet1!$A$2)),
 CONCATENATE(SUM(E25:N25),"TB"),
 IF(
  AND(SUM(E25:N25)&gt;0,OR(C25=Sheet1!$A$6,C25=Sheet1!$A$3,C25=Sheet1!$A$7,C25=Sheet1!$A$4),D25=Sheet1!$H$6),
  CONCATENATE(SUM(E25:N25),"台"),
  IF(
   AND(
    SUM(E25:N25)&gt;0,
    OR(C25=Sheet1!$A$6,C25=Sheet1!$A$3,C25=Sheet1!$A$7,C25=Sheet1!$A$4,C25=Sheet1!$A$5),
    OR(D25=Sheet1!$B$6,D25=Sheet1!$C$6,D25=Sheet1!$D$6,D25=Sheet1!$E$6,D25=Sheet1!$F$6,D25=Sheet1!$G$6)
   ),
   CONCATENATE(SUM(E25:N25),"単位"),
   ""
  )
 )
)</f>
        <v/>
      </c>
      <c r="P25" s="67" t="str">
        <f t="shared" si="0"/>
        <v/>
      </c>
      <c r="Q25" s="68">
        <f t="shared" si="1"/>
        <v>0</v>
      </c>
      <c r="R25" s="68">
        <f t="shared" si="2"/>
        <v>0</v>
      </c>
      <c r="S25" s="68">
        <f t="shared" si="3"/>
        <v>0</v>
      </c>
      <c r="T25" s="68">
        <f t="shared" si="4"/>
        <v>0</v>
      </c>
      <c r="U25" s="26" t="str">
        <f t="shared" si="7"/>
        <v/>
      </c>
      <c r="V25" s="26" t="str">
        <f t="shared" si="8"/>
        <v/>
      </c>
      <c r="W25" s="27" t="str">
        <f t="shared" si="9"/>
        <v/>
      </c>
      <c r="X25" s="71" t="str">
        <f t="shared" si="6"/>
        <v/>
      </c>
    </row>
    <row r="26" spans="1:24" ht="15.75" customHeight="1" thickBot="1">
      <c r="A26" s="31"/>
      <c r="B26" s="31"/>
      <c r="C26" s="31"/>
      <c r="D26" s="69"/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25" t="str">
        <f>IF(
 AND(SUM(E26:N26)&gt;0,OR(C26=Sheet1!$A$1,C26=Sheet1!$A$2)),
 CONCATENATE(SUM(E26:N26),"TB"),
 IF(
  AND(SUM(E26:N26)&gt;0,OR(C26=Sheet1!$A$6,C26=Sheet1!$A$3,C26=Sheet1!$A$7,C26=Sheet1!$A$4),D26=Sheet1!$H$6),
  CONCATENATE(SUM(E26:N26),"台"),
  IF(
   AND(
    SUM(E26:N26)&gt;0,
    OR(C26=Sheet1!$A$6,C26=Sheet1!$A$3,C26=Sheet1!$A$7,C26=Sheet1!$A$4,C26=Sheet1!$A$5),
    OR(D26=Sheet1!$B$6,D26=Sheet1!$C$6,D26=Sheet1!$D$6,D26=Sheet1!$E$6,D26=Sheet1!$F$6,D26=Sheet1!$G$6)
   ),
   CONCATENATE(SUM(E26:N26),"単位"),
   ""
  )
 )
)</f>
        <v/>
      </c>
      <c r="P26" s="34" t="str">
        <f t="shared" si="0"/>
        <v/>
      </c>
      <c r="Q26" s="35">
        <f t="shared" si="1"/>
        <v>0</v>
      </c>
      <c r="R26" s="68">
        <f t="shared" si="2"/>
        <v>0</v>
      </c>
      <c r="S26" s="68">
        <f t="shared" si="3"/>
        <v>0</v>
      </c>
      <c r="T26" s="68">
        <f t="shared" si="4"/>
        <v>0</v>
      </c>
      <c r="U26" s="26" t="str">
        <f t="shared" si="7"/>
        <v/>
      </c>
      <c r="V26" s="26" t="str">
        <f t="shared" si="8"/>
        <v/>
      </c>
      <c r="W26" s="83" t="str">
        <f t="shared" si="9"/>
        <v/>
      </c>
      <c r="X26" s="36" t="str">
        <f t="shared" si="6"/>
        <v/>
      </c>
    </row>
    <row r="27" spans="1:24" ht="15.75" customHeight="1" thickTop="1">
      <c r="A27" s="239" t="s">
        <v>43</v>
      </c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1"/>
      <c r="P27" s="89"/>
      <c r="Q27" s="37"/>
      <c r="R27" s="37"/>
      <c r="S27" s="37"/>
      <c r="T27" s="37"/>
      <c r="U27" s="38">
        <f>SUMIFS(U12:U26,$C12:$C26,Sheet1!$A$6)</f>
        <v>0</v>
      </c>
      <c r="V27" s="38">
        <f>SUMIFS(V12:V26,$C12:$C26,Sheet1!$A$6)</f>
        <v>0</v>
      </c>
      <c r="W27" s="39">
        <f>SUMIFS(W12:W26,$C12:$C26,Sheet1!$A$6)</f>
        <v>0</v>
      </c>
      <c r="X27" s="40">
        <f t="shared" ref="X27:X33" si="10">SUM(U27:W27)</f>
        <v>0</v>
      </c>
    </row>
    <row r="28" spans="1:24" ht="15.75" customHeight="1">
      <c r="A28" s="242" t="s">
        <v>44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72"/>
      <c r="P28" s="86"/>
      <c r="U28" s="70">
        <f>SUMIFS(U12:U26,$C12:$C26,Sheet1!$A$3)</f>
        <v>1000</v>
      </c>
      <c r="V28" s="70">
        <f>SUMIFS(V12:V26,$C12:$C26,Sheet1!$A$3)</f>
        <v>82666</v>
      </c>
      <c r="W28" s="27">
        <f>SUMIFS(W12:W26,$C12:$C26,Sheet1!$A$3)</f>
        <v>0</v>
      </c>
      <c r="X28" s="41">
        <f t="shared" si="10"/>
        <v>83666</v>
      </c>
    </row>
    <row r="29" spans="1:24" ht="15.75" customHeight="1">
      <c r="A29" s="215" t="s">
        <v>45</v>
      </c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200"/>
      <c r="P29" s="86"/>
      <c r="U29" s="70">
        <f>SUMIFS(U12:U26,$C12:$C26,Sheet1!$A$7)</f>
        <v>0</v>
      </c>
      <c r="V29" s="70">
        <f>SUMIFS(V12:V26,$C12:$C26,Sheet1!$A$7)</f>
        <v>0</v>
      </c>
      <c r="W29" s="27">
        <f>SUMIFS(W12:W26,$C12:$C26,Sheet1!$A$7)</f>
        <v>0</v>
      </c>
      <c r="X29" s="41">
        <f t="shared" si="10"/>
        <v>0</v>
      </c>
    </row>
    <row r="30" spans="1:24" ht="15.75" customHeight="1">
      <c r="A30" s="215" t="s">
        <v>46</v>
      </c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200"/>
      <c r="P30" s="90"/>
      <c r="Q30" s="68"/>
      <c r="R30" s="68"/>
      <c r="S30" s="68"/>
      <c r="T30" s="68"/>
      <c r="U30" s="26">
        <f>SUMIFS(U12:U26,$C12:$C26,Sheet1!$A$4)</f>
        <v>0</v>
      </c>
      <c r="V30" s="70">
        <f>SUMIFS(V12:V26,$C12:$C26,Sheet1!$A$4)</f>
        <v>0</v>
      </c>
      <c r="W30" s="27">
        <f>SUMIFS(W12:W26,$C12:$C26,Sheet1!$A$4)</f>
        <v>408333</v>
      </c>
      <c r="X30" s="71">
        <f t="shared" si="10"/>
        <v>408333</v>
      </c>
    </row>
    <row r="31" spans="1:24" ht="15.75" customHeight="1">
      <c r="A31" s="215" t="s">
        <v>47</v>
      </c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200"/>
      <c r="P31" s="86"/>
      <c r="Q31" s="61"/>
      <c r="R31" s="61"/>
      <c r="S31" s="61"/>
      <c r="T31" s="61"/>
      <c r="U31" s="26">
        <f>SUMIFS(U12:U26,$C12:$C26,Sheet1!$A$5)</f>
        <v>5625</v>
      </c>
      <c r="V31" s="70">
        <f>SUMIFS(V12:V26,$C12:$C26,Sheet1!$A$5)</f>
        <v>0</v>
      </c>
      <c r="W31" s="27">
        <f>SUMIFS(W12:W26,$C12:$C26,Sheet1!$A$5)</f>
        <v>0</v>
      </c>
      <c r="X31" s="71">
        <f>SUM(U31:W31)</f>
        <v>5625</v>
      </c>
    </row>
    <row r="32" spans="1:24" ht="15.75" customHeight="1">
      <c r="A32" s="216" t="s">
        <v>48</v>
      </c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171"/>
      <c r="P32" s="86"/>
      <c r="U32" s="42">
        <f>SUMIFS(U12:U26,$C12:$C26,Sheet1!$A$1,$D12:$D26,Sheet1!$B$1)</f>
        <v>147068</v>
      </c>
      <c r="V32" s="42">
        <f>SUMIFS(V12:V26,$C12:$C26,Sheet1!$A$1,$D12:$D26,Sheet1!$B$1)</f>
        <v>153753</v>
      </c>
      <c r="W32" s="43">
        <f>SUMIFS(W12:W26,$C12:$C26,Sheet1!$A$1,$D12:$D26,Sheet1!$B$1)</f>
        <v>159123</v>
      </c>
      <c r="X32" s="72">
        <f t="shared" si="10"/>
        <v>459944</v>
      </c>
    </row>
    <row r="33" spans="1:24" ht="15.75" customHeight="1" thickBot="1">
      <c r="A33" s="228" t="s">
        <v>49</v>
      </c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1"/>
      <c r="P33" s="91"/>
      <c r="Q33" s="54"/>
      <c r="R33" s="54"/>
      <c r="S33" s="54"/>
      <c r="T33" s="54"/>
      <c r="U33" s="55">
        <f>SUMIFS(U12:U26,$C12:$C26,Sheet1!$A$2,$D12:$D26,Sheet1!$B$2)</f>
        <v>120328</v>
      </c>
      <c r="V33" s="56">
        <f>SUMIFS(V12:V26,$C12:$C26,Sheet1!$A$2,$D12:$D26,Sheet1!$B$2)</f>
        <v>94136</v>
      </c>
      <c r="W33" s="57">
        <f>SUMIFS(W12:W26,$C12:$C26,Sheet1!$A$2,$D12:$D26,Sheet1!$B$2)</f>
        <v>108493</v>
      </c>
      <c r="X33" s="56">
        <f t="shared" si="10"/>
        <v>322957</v>
      </c>
    </row>
    <row r="34" spans="1:24" ht="15.75" customHeight="1" thickTop="1" thickBot="1">
      <c r="A34" s="229" t="s">
        <v>51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1"/>
      <c r="P34" s="88"/>
      <c r="Q34" s="58"/>
      <c r="R34" s="58"/>
      <c r="S34" s="58"/>
      <c r="T34" s="58"/>
      <c r="U34" s="59">
        <f>ROUNDDOWN(SUM(U12:U26)*(消費税-1),0)</f>
        <v>27402</v>
      </c>
      <c r="V34" s="59">
        <f>ROUNDDOWN(SUM(V12:V26)*(消費税-1),0)</f>
        <v>33055</v>
      </c>
      <c r="W34" s="81">
        <f>ROUNDDOWN(SUM(W12:W26)*(消費税-1),0)</f>
        <v>67594</v>
      </c>
      <c r="X34" s="60">
        <f>SUM(U34:W34)</f>
        <v>128051</v>
      </c>
    </row>
    <row r="35" spans="1:24" ht="15.75" customHeight="1" thickTop="1">
      <c r="A35" s="232" t="s">
        <v>50</v>
      </c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4"/>
      <c r="P35" s="87"/>
      <c r="Q35" s="78"/>
      <c r="R35" s="78"/>
      <c r="S35" s="78"/>
      <c r="T35" s="78"/>
      <c r="U35" s="79">
        <f>SUM(U12:U26)+U34</f>
        <v>301423</v>
      </c>
      <c r="V35" s="79">
        <f t="shared" ref="V35:W35" si="11">SUM(V12:V26)+V34</f>
        <v>363610</v>
      </c>
      <c r="W35" s="82">
        <f t="shared" si="11"/>
        <v>743543</v>
      </c>
      <c r="X35" s="80">
        <f>SUM(X12:X26)+X34</f>
        <v>1408576</v>
      </c>
    </row>
    <row r="36" spans="1:24" ht="15.75" customHeight="1"/>
    <row r="37" spans="1:24" ht="18" customHeight="1"/>
    <row r="38" spans="1:24" ht="18" customHeight="1"/>
    <row r="39" spans="1:24" ht="18" customHeight="1"/>
    <row r="40" spans="1:24" ht="18" customHeight="1"/>
    <row r="41" spans="1:24" ht="18" customHeight="1"/>
    <row r="42" spans="1:24" ht="18" customHeight="1"/>
    <row r="43" spans="1:24" ht="18" customHeight="1"/>
    <row r="44" spans="1:24" ht="18" customHeight="1"/>
    <row r="45" spans="1:24" ht="18" customHeight="1"/>
    <row r="46" spans="1:24" ht="18" customHeight="1"/>
    <row r="47" spans="1:24" ht="18" customHeight="1"/>
    <row r="48" spans="1:2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0">
    <mergeCell ref="A33:O33"/>
    <mergeCell ref="A34:O34"/>
    <mergeCell ref="A35:O35"/>
    <mergeCell ref="E8:N8"/>
    <mergeCell ref="O8:O11"/>
    <mergeCell ref="E9:N9"/>
    <mergeCell ref="A27:O27"/>
    <mergeCell ref="A28:O28"/>
    <mergeCell ref="A29:O29"/>
    <mergeCell ref="A30:O30"/>
    <mergeCell ref="A8:A11"/>
    <mergeCell ref="B8:B11"/>
    <mergeCell ref="A2:X2"/>
    <mergeCell ref="A3:X3"/>
    <mergeCell ref="A4:X4"/>
    <mergeCell ref="A5:X5"/>
    <mergeCell ref="A7:X7"/>
    <mergeCell ref="Q8:Q11"/>
    <mergeCell ref="R8:R11"/>
    <mergeCell ref="X8:X11"/>
    <mergeCell ref="A31:O31"/>
    <mergeCell ref="A32:O32"/>
    <mergeCell ref="S8:S11"/>
    <mergeCell ref="T8:T11"/>
    <mergeCell ref="U8:U11"/>
    <mergeCell ref="V8:V11"/>
    <mergeCell ref="W8:W11"/>
    <mergeCell ref="C8:C11"/>
    <mergeCell ref="D8:D11"/>
    <mergeCell ref="P8:P11"/>
  </mergeCells>
  <phoneticPr fontId="13"/>
  <dataValidations count="2">
    <dataValidation type="list" allowBlank="1" showErrorMessage="1" sqref="D12:D26" xr:uid="{00000000-0002-0000-0300-000000000000}">
      <formula1>INDIRECT(C12)</formula1>
    </dataValidation>
    <dataValidation type="list" allowBlank="1" showErrorMessage="1" sqref="C12:C26" xr:uid="{00000000-0002-0000-0300-000001000000}">
      <formula1>サービス</formula1>
    </dataValidation>
  </dataValidations>
  <pageMargins left="0.25" right="0.25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ABF8F"/>
  </sheetPr>
  <dimension ref="A1:H1001"/>
  <sheetViews>
    <sheetView topLeftCell="A7" workbookViewId="0">
      <selection activeCell="E21" sqref="E21"/>
    </sheetView>
  </sheetViews>
  <sheetFormatPr defaultColWidth="14.44140625" defaultRowHeight="15" customHeight="1"/>
  <cols>
    <col min="1" max="1" width="47.5546875" customWidth="1"/>
    <col min="2" max="8" width="30.6640625" customWidth="1"/>
    <col min="9" max="26" width="8.6640625" customWidth="1"/>
  </cols>
  <sheetData>
    <row r="1" spans="1:8" ht="18" customHeight="1">
      <c r="A1" s="28" t="s">
        <v>40</v>
      </c>
      <c r="B1" s="28" t="s">
        <v>41</v>
      </c>
    </row>
    <row r="2" spans="1:8" ht="18" customHeight="1">
      <c r="A2" s="28" t="s">
        <v>62</v>
      </c>
      <c r="B2" s="28" t="s">
        <v>41</v>
      </c>
    </row>
    <row r="3" spans="1:8" ht="18" customHeight="1">
      <c r="A3" s="28" t="s">
        <v>63</v>
      </c>
      <c r="B3" s="28" t="s">
        <v>64</v>
      </c>
      <c r="C3" s="28" t="s">
        <v>67</v>
      </c>
      <c r="D3" s="28" t="s">
        <v>65</v>
      </c>
    </row>
    <row r="4" spans="1:8" ht="18" customHeight="1">
      <c r="A4" s="28" t="s">
        <v>66</v>
      </c>
      <c r="B4" s="28" t="s">
        <v>64</v>
      </c>
      <c r="C4" s="28" t="s">
        <v>67</v>
      </c>
      <c r="D4" s="28" t="s">
        <v>65</v>
      </c>
      <c r="E4" t="s">
        <v>74</v>
      </c>
      <c r="F4" t="s">
        <v>69</v>
      </c>
      <c r="G4" t="s">
        <v>75</v>
      </c>
    </row>
    <row r="5" spans="1:8" ht="18" customHeight="1">
      <c r="A5" s="28" t="s">
        <v>68</v>
      </c>
      <c r="B5" t="s">
        <v>69</v>
      </c>
      <c r="C5" s="28"/>
      <c r="D5" s="28"/>
      <c r="E5" s="28"/>
    </row>
    <row r="6" spans="1:8" ht="18" customHeight="1">
      <c r="A6" s="28" t="s">
        <v>72</v>
      </c>
      <c r="B6" s="28" t="s">
        <v>64</v>
      </c>
      <c r="C6" s="28" t="s">
        <v>67</v>
      </c>
      <c r="D6" s="28" t="s">
        <v>73</v>
      </c>
      <c r="E6" s="28" t="s">
        <v>65</v>
      </c>
      <c r="F6" t="s">
        <v>74</v>
      </c>
      <c r="G6" t="s">
        <v>69</v>
      </c>
      <c r="H6" t="s">
        <v>75</v>
      </c>
    </row>
    <row r="7" spans="1:8" ht="18" customHeight="1">
      <c r="A7" s="28" t="s">
        <v>76</v>
      </c>
      <c r="B7" s="28" t="s">
        <v>64</v>
      </c>
      <c r="C7" s="28" t="s">
        <v>67</v>
      </c>
      <c r="D7" s="28" t="s">
        <v>73</v>
      </c>
      <c r="E7" s="28" t="s">
        <v>65</v>
      </c>
      <c r="F7" t="s">
        <v>74</v>
      </c>
      <c r="G7" t="s">
        <v>69</v>
      </c>
      <c r="H7" t="s">
        <v>75</v>
      </c>
    </row>
    <row r="8" spans="1:8" ht="18" customHeight="1"/>
    <row r="9" spans="1:8" ht="18" customHeight="1">
      <c r="A9" s="28" t="s">
        <v>77</v>
      </c>
    </row>
    <row r="10" spans="1:8" ht="18" customHeight="1">
      <c r="A10" s="28" t="s">
        <v>78</v>
      </c>
    </row>
    <row r="11" spans="1:8" ht="18" customHeight="1"/>
    <row r="12" spans="1:8" ht="18" customHeight="1">
      <c r="A12" s="28"/>
      <c r="B12" s="28"/>
    </row>
    <row r="13" spans="1:8" ht="18" customHeight="1">
      <c r="A13" s="28" t="s">
        <v>79</v>
      </c>
      <c r="B13" s="28">
        <f>_xlfn.DAYS(DATE(年+1,3,31),DATE(年,4,1))+1</f>
        <v>365</v>
      </c>
    </row>
    <row r="14" spans="1:8" ht="18" customHeight="1">
      <c r="A14" s="28" t="s">
        <v>51</v>
      </c>
      <c r="B14" s="28">
        <v>1.1000000000000001</v>
      </c>
    </row>
    <row r="15" spans="1:8" ht="18" customHeight="1">
      <c r="A15" s="28" t="s">
        <v>80</v>
      </c>
      <c r="B15" s="28">
        <v>40000</v>
      </c>
    </row>
    <row r="16" spans="1:8" ht="18" customHeight="1">
      <c r="A16" s="28" t="s">
        <v>81</v>
      </c>
      <c r="B16" s="28">
        <v>40000</v>
      </c>
    </row>
    <row r="17" spans="1:2" ht="18" customHeight="1">
      <c r="A17" s="28" t="s">
        <v>82</v>
      </c>
      <c r="B17" s="28">
        <v>0</v>
      </c>
    </row>
    <row r="18" spans="1:2" ht="18" customHeight="1">
      <c r="A18" s="28" t="s">
        <v>83</v>
      </c>
      <c r="B18" s="28">
        <v>500</v>
      </c>
    </row>
    <row r="19" spans="1:2" ht="18" customHeight="1">
      <c r="A19" s="28" t="s">
        <v>84</v>
      </c>
      <c r="B19" s="28">
        <v>500</v>
      </c>
    </row>
    <row r="20" spans="1:2" ht="18" customHeight="1">
      <c r="A20" s="28" t="s">
        <v>85</v>
      </c>
      <c r="B20" s="28">
        <v>50000</v>
      </c>
    </row>
    <row r="21" spans="1:2" ht="18" customHeight="1">
      <c r="A21" s="28" t="s">
        <v>86</v>
      </c>
      <c r="B21" s="28">
        <v>40000</v>
      </c>
    </row>
    <row r="22" spans="1:2" ht="18" customHeight="1">
      <c r="A22" s="28" t="s">
        <v>87</v>
      </c>
      <c r="B22" s="28">
        <v>180000</v>
      </c>
    </row>
    <row r="23" spans="1:2" ht="18" customHeight="1">
      <c r="A23" s="28" t="s">
        <v>88</v>
      </c>
      <c r="B23" s="28">
        <v>56250</v>
      </c>
    </row>
    <row r="24" spans="1:2" ht="18" customHeight="1">
      <c r="A24" s="28" t="s">
        <v>89</v>
      </c>
      <c r="B24" s="28">
        <v>270000</v>
      </c>
    </row>
    <row r="25" spans="1:2" ht="18" customHeight="1">
      <c r="A25" s="28" t="s">
        <v>116</v>
      </c>
      <c r="B25" t="s">
        <v>64</v>
      </c>
    </row>
    <row r="26" spans="1:2" ht="18" customHeight="1">
      <c r="A26" s="28" t="s">
        <v>117</v>
      </c>
      <c r="B26" s="28" t="s">
        <v>67</v>
      </c>
    </row>
    <row r="27" spans="1:2" ht="18" customHeight="1">
      <c r="A27" s="28" t="s">
        <v>118</v>
      </c>
      <c r="B27" s="28" t="s">
        <v>73</v>
      </c>
    </row>
    <row r="28" spans="1:2" ht="18" customHeight="1">
      <c r="A28" s="28" t="s">
        <v>119</v>
      </c>
      <c r="B28" s="28" t="s">
        <v>65</v>
      </c>
    </row>
    <row r="29" spans="1:2" ht="18" customHeight="1">
      <c r="A29" s="28" t="s">
        <v>120</v>
      </c>
      <c r="B29" t="s">
        <v>74</v>
      </c>
    </row>
    <row r="30" spans="1:2" ht="18" customHeight="1">
      <c r="A30" s="28" t="s">
        <v>121</v>
      </c>
      <c r="B30" t="s">
        <v>69</v>
      </c>
    </row>
    <row r="31" spans="1:2" ht="18" customHeight="1">
      <c r="A31" s="28" t="s">
        <v>122</v>
      </c>
      <c r="B31" t="s">
        <v>75</v>
      </c>
    </row>
    <row r="32" spans="1: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</sheetData>
  <phoneticPr fontId="13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1"/>
  <sheetViews>
    <sheetView workbookViewId="0">
      <selection activeCell="D16" sqref="D16"/>
    </sheetView>
  </sheetViews>
  <sheetFormatPr defaultColWidth="14.44140625" defaultRowHeight="15" customHeight="1"/>
  <cols>
    <col min="1" max="1" width="26.33203125" customWidth="1"/>
    <col min="2" max="2" width="25.44140625" customWidth="1"/>
    <col min="3" max="3" width="8.6640625" customWidth="1"/>
    <col min="4" max="4" width="11.44140625" customWidth="1"/>
    <col min="5" max="5" width="96.5546875" customWidth="1"/>
    <col min="6" max="26" width="8.6640625" customWidth="1"/>
  </cols>
  <sheetData>
    <row r="1" spans="1:26" ht="18" customHeight="1">
      <c r="A1" s="49" t="s">
        <v>90</v>
      </c>
      <c r="B1" s="49"/>
      <c r="C1" s="49"/>
      <c r="D1" s="49"/>
      <c r="E1" s="53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8" customHeight="1">
      <c r="A2" s="49" t="s">
        <v>107</v>
      </c>
      <c r="B2" s="49"/>
      <c r="C2" s="49"/>
      <c r="D2" s="49"/>
      <c r="E2" s="53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8" customHeight="1">
      <c r="A3" s="49" t="s">
        <v>91</v>
      </c>
      <c r="B3" s="49"/>
      <c r="C3" s="49"/>
      <c r="D3" s="49"/>
      <c r="E3" s="53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8" customHeight="1">
      <c r="A4" s="49"/>
      <c r="B4" s="49"/>
      <c r="C4" s="49"/>
      <c r="D4" s="49"/>
      <c r="E4" s="53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8" customHeight="1">
      <c r="A5" s="50" t="s">
        <v>92</v>
      </c>
      <c r="B5" s="49" t="s">
        <v>93</v>
      </c>
      <c r="C5" s="73"/>
      <c r="D5" s="74" t="s">
        <v>94</v>
      </c>
      <c r="E5" s="75" t="s">
        <v>95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18" customHeight="1">
      <c r="A6" s="49" t="s">
        <v>96</v>
      </c>
      <c r="B6" s="49" t="s">
        <v>114</v>
      </c>
      <c r="C6" s="73"/>
      <c r="D6" s="51">
        <v>45139</v>
      </c>
      <c r="E6" s="52" t="s">
        <v>97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8" customHeight="1">
      <c r="A7" s="49" t="s">
        <v>98</v>
      </c>
      <c r="B7" s="50" t="s">
        <v>115</v>
      </c>
      <c r="C7" s="73"/>
      <c r="D7" s="51">
        <v>45155</v>
      </c>
      <c r="E7" s="52" t="s">
        <v>99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8" customHeight="1">
      <c r="A8" s="49"/>
      <c r="B8" s="49"/>
      <c r="C8" s="73"/>
      <c r="D8" s="51">
        <v>45155</v>
      </c>
      <c r="E8" s="52" t="s">
        <v>100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8" customHeight="1">
      <c r="A9" s="49"/>
      <c r="B9" s="49"/>
      <c r="C9" s="73"/>
      <c r="D9" s="51">
        <v>45309</v>
      </c>
      <c r="E9" s="52" t="s">
        <v>108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8" customHeight="1">
      <c r="A10" s="49"/>
      <c r="B10" s="49"/>
      <c r="C10" s="73"/>
      <c r="D10" s="51">
        <v>45404</v>
      </c>
      <c r="E10" s="52" t="s">
        <v>101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8" customHeight="1">
      <c r="A11" s="49"/>
      <c r="B11" s="49"/>
      <c r="C11" s="73"/>
      <c r="D11" s="51">
        <v>45463</v>
      </c>
      <c r="E11" s="52" t="s">
        <v>102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33" customHeight="1">
      <c r="A12" s="49"/>
      <c r="B12" s="49"/>
      <c r="C12" s="73"/>
      <c r="D12" s="76">
        <v>45701</v>
      </c>
      <c r="E12" s="77" t="s">
        <v>103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8" customHeight="1">
      <c r="A13" s="49"/>
      <c r="B13" s="49"/>
      <c r="C13" s="73"/>
      <c r="D13" s="76">
        <v>45796</v>
      </c>
      <c r="E13" s="77" t="s">
        <v>104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31.5" customHeight="1">
      <c r="A14" s="49"/>
      <c r="B14" s="49"/>
      <c r="C14" s="73"/>
      <c r="D14" s="129">
        <v>45821</v>
      </c>
      <c r="E14" s="130" t="s">
        <v>105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32.4" customHeight="1">
      <c r="A15" s="49"/>
      <c r="B15" s="49"/>
      <c r="C15" s="49"/>
      <c r="D15" s="132">
        <v>46078</v>
      </c>
      <c r="E15" s="131" t="s">
        <v>113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10.4" customHeight="1">
      <c r="A16" s="49"/>
      <c r="B16" s="49"/>
      <c r="C16" s="49"/>
      <c r="D16" s="132">
        <v>46191</v>
      </c>
      <c r="E16" s="243" t="s">
        <v>123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8" customHeight="1">
      <c r="A17" s="49"/>
      <c r="B17" s="49"/>
      <c r="C17" s="49"/>
      <c r="D17" s="49"/>
      <c r="E17" s="53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8" customHeight="1">
      <c r="A18" s="49"/>
      <c r="B18" s="49"/>
      <c r="C18" s="49"/>
      <c r="D18" s="49"/>
      <c r="E18" s="53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8" customHeight="1">
      <c r="A19" s="49"/>
      <c r="B19" s="49"/>
      <c r="C19" s="49"/>
      <c r="D19" s="49"/>
      <c r="E19" s="53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8" customHeight="1">
      <c r="A20" s="49"/>
      <c r="B20" s="49"/>
      <c r="C20" s="49"/>
      <c r="D20" s="49"/>
      <c r="E20" s="53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8" customHeight="1">
      <c r="A21" s="49"/>
      <c r="B21" s="49"/>
      <c r="C21" s="49"/>
      <c r="D21" s="49"/>
      <c r="E21" s="53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8" customHeight="1">
      <c r="A22" s="49"/>
      <c r="B22" s="49"/>
      <c r="C22" s="49"/>
      <c r="D22" s="49"/>
      <c r="E22" s="53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8" customHeight="1">
      <c r="A23" s="49"/>
      <c r="B23" s="49"/>
      <c r="C23" s="49"/>
      <c r="D23" s="49"/>
      <c r="E23" s="53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8" customHeight="1">
      <c r="A24" s="49"/>
      <c r="B24" s="49"/>
      <c r="C24" s="49"/>
      <c r="D24" s="49"/>
      <c r="E24" s="53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8" customHeight="1">
      <c r="A25" s="49"/>
      <c r="B25" s="49"/>
      <c r="C25" s="49"/>
      <c r="D25" s="49"/>
      <c r="E25" s="53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8" customHeight="1">
      <c r="A26" s="49"/>
      <c r="B26" s="49"/>
      <c r="C26" s="49"/>
      <c r="D26" s="49"/>
      <c r="E26" s="53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8" customHeight="1">
      <c r="A27" s="49"/>
      <c r="B27" s="49"/>
      <c r="C27" s="49"/>
      <c r="D27" s="49"/>
      <c r="E27" s="53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8" customHeight="1">
      <c r="A28" s="49"/>
      <c r="B28" s="49"/>
      <c r="C28" s="49"/>
      <c r="D28" s="49"/>
      <c r="E28" s="53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8" customHeight="1">
      <c r="A29" s="49"/>
      <c r="B29" s="49"/>
      <c r="C29" s="49"/>
      <c r="D29" s="49"/>
      <c r="E29" s="53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8" customHeight="1">
      <c r="A30" s="49"/>
      <c r="B30" s="49"/>
      <c r="C30" s="49"/>
      <c r="D30" s="49"/>
      <c r="E30" s="53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8" customHeight="1">
      <c r="A31" s="49"/>
      <c r="B31" s="49"/>
      <c r="C31" s="49"/>
      <c r="D31" s="49"/>
      <c r="E31" s="53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8" customHeight="1">
      <c r="A32" s="49"/>
      <c r="B32" s="49"/>
      <c r="C32" s="49"/>
      <c r="D32" s="49"/>
      <c r="E32" s="53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8" customHeight="1">
      <c r="A33" s="49"/>
      <c r="B33" s="49"/>
      <c r="C33" s="49"/>
      <c r="D33" s="49"/>
      <c r="E33" s="53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8" customHeight="1">
      <c r="A34" s="49"/>
      <c r="B34" s="49"/>
      <c r="C34" s="49"/>
      <c r="D34" s="49"/>
      <c r="E34" s="53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8" customHeight="1">
      <c r="A35" s="49"/>
      <c r="B35" s="49"/>
      <c r="C35" s="49"/>
      <c r="D35" s="49"/>
      <c r="E35" s="53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8" customHeight="1">
      <c r="A36" s="49"/>
      <c r="B36" s="49"/>
      <c r="C36" s="49"/>
      <c r="D36" s="49"/>
      <c r="E36" s="53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8" customHeight="1">
      <c r="A37" s="49"/>
      <c r="B37" s="49"/>
      <c r="C37" s="49"/>
      <c r="D37" s="49"/>
      <c r="E37" s="53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8" customHeight="1">
      <c r="A38" s="49"/>
      <c r="B38" s="49"/>
      <c r="C38" s="49"/>
      <c r="D38" s="49"/>
      <c r="E38" s="53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8" customHeight="1">
      <c r="A39" s="49"/>
      <c r="B39" s="49"/>
      <c r="C39" s="49"/>
      <c r="D39" s="49"/>
      <c r="E39" s="53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8" customHeight="1">
      <c r="A40" s="49"/>
      <c r="B40" s="49"/>
      <c r="C40" s="49"/>
      <c r="D40" s="49"/>
      <c r="E40" s="53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8" customHeight="1">
      <c r="A41" s="49"/>
      <c r="B41" s="49"/>
      <c r="C41" s="49"/>
      <c r="D41" s="49"/>
      <c r="E41" s="53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8" customHeight="1">
      <c r="A42" s="49"/>
      <c r="B42" s="49"/>
      <c r="C42" s="49"/>
      <c r="D42" s="49"/>
      <c r="E42" s="53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8" customHeight="1">
      <c r="A43" s="49"/>
      <c r="B43" s="49"/>
      <c r="C43" s="49"/>
      <c r="D43" s="49"/>
      <c r="E43" s="53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8" customHeight="1">
      <c r="A44" s="49"/>
      <c r="B44" s="49"/>
      <c r="C44" s="49"/>
      <c r="D44" s="49"/>
      <c r="E44" s="53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8" customHeight="1">
      <c r="A45" s="49"/>
      <c r="B45" s="49"/>
      <c r="C45" s="49"/>
      <c r="D45" s="49"/>
      <c r="E45" s="53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8" customHeight="1">
      <c r="A46" s="49"/>
      <c r="B46" s="49"/>
      <c r="C46" s="49"/>
      <c r="D46" s="49"/>
      <c r="E46" s="53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8" customHeight="1">
      <c r="A47" s="49"/>
      <c r="B47" s="49"/>
      <c r="C47" s="49"/>
      <c r="D47" s="49"/>
      <c r="E47" s="53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8" customHeight="1">
      <c r="A48" s="49"/>
      <c r="B48" s="49"/>
      <c r="C48" s="49"/>
      <c r="D48" s="49"/>
      <c r="E48" s="53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8" customHeight="1">
      <c r="A49" s="49"/>
      <c r="B49" s="49"/>
      <c r="C49" s="49"/>
      <c r="D49" s="49"/>
      <c r="E49" s="53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8" customHeight="1">
      <c r="A50" s="49"/>
      <c r="B50" s="49"/>
      <c r="C50" s="49"/>
      <c r="D50" s="49"/>
      <c r="E50" s="53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8" customHeight="1">
      <c r="A51" s="49"/>
      <c r="B51" s="49"/>
      <c r="C51" s="49"/>
      <c r="D51" s="49"/>
      <c r="E51" s="53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8" customHeight="1">
      <c r="A52" s="49"/>
      <c r="B52" s="49"/>
      <c r="C52" s="49"/>
      <c r="D52" s="49"/>
      <c r="E52" s="53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8" customHeight="1">
      <c r="A53" s="49"/>
      <c r="B53" s="49"/>
      <c r="C53" s="49"/>
      <c r="D53" s="49"/>
      <c r="E53" s="53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8" customHeight="1">
      <c r="A54" s="49"/>
      <c r="B54" s="49"/>
      <c r="C54" s="49"/>
      <c r="D54" s="49"/>
      <c r="E54" s="53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8" customHeight="1">
      <c r="A55" s="49"/>
      <c r="B55" s="49"/>
      <c r="C55" s="49"/>
      <c r="D55" s="49"/>
      <c r="E55" s="53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8" customHeight="1">
      <c r="A56" s="49"/>
      <c r="B56" s="49"/>
      <c r="C56" s="49"/>
      <c r="D56" s="49"/>
      <c r="E56" s="53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8" customHeight="1">
      <c r="A57" s="49"/>
      <c r="B57" s="49"/>
      <c r="C57" s="49"/>
      <c r="D57" s="49"/>
      <c r="E57" s="53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8" customHeight="1">
      <c r="A58" s="49"/>
      <c r="B58" s="49"/>
      <c r="C58" s="49"/>
      <c r="D58" s="49"/>
      <c r="E58" s="53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8" customHeight="1">
      <c r="A59" s="49"/>
      <c r="B59" s="49"/>
      <c r="C59" s="49"/>
      <c r="D59" s="49"/>
      <c r="E59" s="53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8" customHeight="1">
      <c r="A60" s="49"/>
      <c r="B60" s="49"/>
      <c r="C60" s="49"/>
      <c r="D60" s="49"/>
      <c r="E60" s="53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8" customHeight="1">
      <c r="A61" s="49"/>
      <c r="B61" s="49"/>
      <c r="C61" s="49"/>
      <c r="D61" s="49"/>
      <c r="E61" s="53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8" customHeight="1">
      <c r="A62" s="49"/>
      <c r="B62" s="49"/>
      <c r="C62" s="49"/>
      <c r="D62" s="49"/>
      <c r="E62" s="53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8" customHeight="1">
      <c r="A63" s="49"/>
      <c r="B63" s="49"/>
      <c r="C63" s="49"/>
      <c r="D63" s="49"/>
      <c r="E63" s="53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8" customHeight="1">
      <c r="A64" s="49"/>
      <c r="B64" s="49"/>
      <c r="C64" s="49"/>
      <c r="D64" s="49"/>
      <c r="E64" s="53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8" customHeight="1">
      <c r="A65" s="49"/>
      <c r="B65" s="49"/>
      <c r="C65" s="49"/>
      <c r="D65" s="49"/>
      <c r="E65" s="53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8" customHeight="1">
      <c r="A66" s="49"/>
      <c r="B66" s="49"/>
      <c r="C66" s="49"/>
      <c r="D66" s="49"/>
      <c r="E66" s="53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8" customHeight="1">
      <c r="A67" s="49"/>
      <c r="B67" s="49"/>
      <c r="C67" s="49"/>
      <c r="D67" s="49"/>
      <c r="E67" s="53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8" customHeight="1">
      <c r="A68" s="49"/>
      <c r="B68" s="49"/>
      <c r="C68" s="49"/>
      <c r="D68" s="49"/>
      <c r="E68" s="53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8" customHeight="1">
      <c r="A69" s="49"/>
      <c r="B69" s="49"/>
      <c r="C69" s="49"/>
      <c r="D69" s="49"/>
      <c r="E69" s="53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8" customHeight="1">
      <c r="A70" s="49"/>
      <c r="B70" s="49"/>
      <c r="C70" s="49"/>
      <c r="D70" s="49"/>
      <c r="E70" s="53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8" customHeight="1">
      <c r="A71" s="49"/>
      <c r="B71" s="49"/>
      <c r="C71" s="49"/>
      <c r="D71" s="49"/>
      <c r="E71" s="53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8" customHeight="1">
      <c r="A72" s="49"/>
      <c r="B72" s="49"/>
      <c r="C72" s="49"/>
      <c r="D72" s="49"/>
      <c r="E72" s="53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8" customHeight="1">
      <c r="A73" s="49"/>
      <c r="B73" s="49"/>
      <c r="C73" s="49"/>
      <c r="D73" s="49"/>
      <c r="E73" s="53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8" customHeight="1">
      <c r="A74" s="49"/>
      <c r="B74" s="49"/>
      <c r="C74" s="49"/>
      <c r="D74" s="49"/>
      <c r="E74" s="53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8" customHeight="1">
      <c r="A75" s="49"/>
      <c r="B75" s="49"/>
      <c r="C75" s="49"/>
      <c r="D75" s="49"/>
      <c r="E75" s="53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8" customHeight="1">
      <c r="A76" s="49"/>
      <c r="B76" s="49"/>
      <c r="C76" s="49"/>
      <c r="D76" s="49"/>
      <c r="E76" s="53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8" customHeight="1">
      <c r="A77" s="49"/>
      <c r="B77" s="49"/>
      <c r="C77" s="49"/>
      <c r="D77" s="49"/>
      <c r="E77" s="53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8" customHeight="1">
      <c r="A78" s="49"/>
      <c r="B78" s="49"/>
      <c r="C78" s="49"/>
      <c r="D78" s="49"/>
      <c r="E78" s="53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8" customHeight="1">
      <c r="A79" s="49"/>
      <c r="B79" s="49"/>
      <c r="C79" s="49"/>
      <c r="D79" s="49"/>
      <c r="E79" s="53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8" customHeight="1">
      <c r="A80" s="49"/>
      <c r="B80" s="49"/>
      <c r="C80" s="49"/>
      <c r="D80" s="49"/>
      <c r="E80" s="53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8" customHeight="1">
      <c r="A81" s="49"/>
      <c r="B81" s="49"/>
      <c r="C81" s="49"/>
      <c r="D81" s="49"/>
      <c r="E81" s="53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8" customHeight="1">
      <c r="A82" s="49"/>
      <c r="B82" s="49"/>
      <c r="C82" s="49"/>
      <c r="D82" s="49"/>
      <c r="E82" s="53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8" customHeight="1">
      <c r="A83" s="49"/>
      <c r="B83" s="49"/>
      <c r="C83" s="49"/>
      <c r="D83" s="49"/>
      <c r="E83" s="53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8" customHeight="1">
      <c r="A84" s="49"/>
      <c r="B84" s="49"/>
      <c r="C84" s="49"/>
      <c r="D84" s="49"/>
      <c r="E84" s="53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8" customHeight="1">
      <c r="A85" s="49"/>
      <c r="B85" s="49"/>
      <c r="C85" s="49"/>
      <c r="D85" s="49"/>
      <c r="E85" s="53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8" customHeight="1">
      <c r="A86" s="49"/>
      <c r="B86" s="49"/>
      <c r="C86" s="49"/>
      <c r="D86" s="49"/>
      <c r="E86" s="53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8" customHeight="1">
      <c r="A87" s="49"/>
      <c r="B87" s="49"/>
      <c r="C87" s="49"/>
      <c r="D87" s="49"/>
      <c r="E87" s="53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8" customHeight="1">
      <c r="A88" s="49"/>
      <c r="B88" s="49"/>
      <c r="C88" s="49"/>
      <c r="D88" s="49"/>
      <c r="E88" s="53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8" customHeight="1">
      <c r="A89" s="49"/>
      <c r="B89" s="49"/>
      <c r="C89" s="49"/>
      <c r="D89" s="49"/>
      <c r="E89" s="53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8" customHeight="1">
      <c r="A90" s="49"/>
      <c r="B90" s="49"/>
      <c r="C90" s="49"/>
      <c r="D90" s="49"/>
      <c r="E90" s="53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8" customHeight="1">
      <c r="A91" s="49"/>
      <c r="B91" s="49"/>
      <c r="C91" s="49"/>
      <c r="D91" s="49"/>
      <c r="E91" s="53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8" customHeight="1">
      <c r="A92" s="49"/>
      <c r="B92" s="49"/>
      <c r="C92" s="49"/>
      <c r="D92" s="49"/>
      <c r="E92" s="53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8" customHeight="1">
      <c r="A93" s="49"/>
      <c r="B93" s="49"/>
      <c r="C93" s="49"/>
      <c r="D93" s="49"/>
      <c r="E93" s="53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8" customHeight="1">
      <c r="A94" s="49"/>
      <c r="B94" s="49"/>
      <c r="C94" s="49"/>
      <c r="D94" s="49"/>
      <c r="E94" s="53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8" customHeight="1">
      <c r="A95" s="49"/>
      <c r="B95" s="49"/>
      <c r="C95" s="49"/>
      <c r="D95" s="49"/>
      <c r="E95" s="53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8" customHeight="1">
      <c r="A96" s="49"/>
      <c r="B96" s="49"/>
      <c r="C96" s="49"/>
      <c r="D96" s="49"/>
      <c r="E96" s="53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8" customHeight="1">
      <c r="A97" s="49"/>
      <c r="B97" s="49"/>
      <c r="C97" s="49"/>
      <c r="D97" s="49"/>
      <c r="E97" s="53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8" customHeight="1">
      <c r="A98" s="49"/>
      <c r="B98" s="49"/>
      <c r="C98" s="49"/>
      <c r="D98" s="49"/>
      <c r="E98" s="53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8" customHeight="1">
      <c r="A99" s="49"/>
      <c r="B99" s="49"/>
      <c r="C99" s="49"/>
      <c r="D99" s="49"/>
      <c r="E99" s="53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8" customHeight="1">
      <c r="A100" s="49"/>
      <c r="B100" s="49"/>
      <c r="C100" s="49"/>
      <c r="D100" s="49"/>
      <c r="E100" s="53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8" customHeight="1">
      <c r="A101" s="49"/>
      <c r="B101" s="49"/>
      <c r="C101" s="49"/>
      <c r="D101" s="49"/>
      <c r="E101" s="53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8" customHeight="1">
      <c r="A102" s="49"/>
      <c r="B102" s="49"/>
      <c r="C102" s="49"/>
      <c r="D102" s="49"/>
      <c r="E102" s="53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8" customHeight="1">
      <c r="A103" s="49"/>
      <c r="B103" s="49"/>
      <c r="C103" s="49"/>
      <c r="D103" s="49"/>
      <c r="E103" s="53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8" customHeight="1">
      <c r="A104" s="49"/>
      <c r="B104" s="49"/>
      <c r="C104" s="49"/>
      <c r="D104" s="49"/>
      <c r="E104" s="53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8" customHeight="1">
      <c r="A105" s="49"/>
      <c r="B105" s="49"/>
      <c r="C105" s="49"/>
      <c r="D105" s="49"/>
      <c r="E105" s="53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8" customHeight="1">
      <c r="A106" s="49"/>
      <c r="B106" s="49"/>
      <c r="C106" s="49"/>
      <c r="D106" s="49"/>
      <c r="E106" s="53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8" customHeight="1">
      <c r="A107" s="49"/>
      <c r="B107" s="49"/>
      <c r="C107" s="49"/>
      <c r="D107" s="49"/>
      <c r="E107" s="53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8" customHeight="1">
      <c r="A108" s="49"/>
      <c r="B108" s="49"/>
      <c r="C108" s="49"/>
      <c r="D108" s="49"/>
      <c r="E108" s="53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8" customHeight="1">
      <c r="A109" s="49"/>
      <c r="B109" s="49"/>
      <c r="C109" s="49"/>
      <c r="D109" s="49"/>
      <c r="E109" s="53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8" customHeight="1">
      <c r="A110" s="49"/>
      <c r="B110" s="49"/>
      <c r="C110" s="49"/>
      <c r="D110" s="49"/>
      <c r="E110" s="53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8" customHeight="1">
      <c r="A111" s="49"/>
      <c r="B111" s="49"/>
      <c r="C111" s="49"/>
      <c r="D111" s="49"/>
      <c r="E111" s="53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8" customHeight="1">
      <c r="A112" s="49"/>
      <c r="B112" s="49"/>
      <c r="C112" s="49"/>
      <c r="D112" s="49"/>
      <c r="E112" s="53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8" customHeight="1">
      <c r="A113" s="49"/>
      <c r="B113" s="49"/>
      <c r="C113" s="49"/>
      <c r="D113" s="49"/>
      <c r="E113" s="53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8" customHeight="1">
      <c r="A114" s="49"/>
      <c r="B114" s="49"/>
      <c r="C114" s="49"/>
      <c r="D114" s="49"/>
      <c r="E114" s="53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8" customHeight="1">
      <c r="A115" s="49"/>
      <c r="B115" s="49"/>
      <c r="C115" s="49"/>
      <c r="D115" s="49"/>
      <c r="E115" s="53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8" customHeight="1">
      <c r="A116" s="49"/>
      <c r="B116" s="49"/>
      <c r="C116" s="49"/>
      <c r="D116" s="49"/>
      <c r="E116" s="53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8" customHeight="1">
      <c r="A117" s="49"/>
      <c r="B117" s="49"/>
      <c r="C117" s="49"/>
      <c r="D117" s="49"/>
      <c r="E117" s="53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8" customHeight="1">
      <c r="A118" s="49"/>
      <c r="B118" s="49"/>
      <c r="C118" s="49"/>
      <c r="D118" s="49"/>
      <c r="E118" s="53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8" customHeight="1">
      <c r="A119" s="49"/>
      <c r="B119" s="49"/>
      <c r="C119" s="49"/>
      <c r="D119" s="49"/>
      <c r="E119" s="53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8" customHeight="1">
      <c r="A120" s="49"/>
      <c r="B120" s="49"/>
      <c r="C120" s="49"/>
      <c r="D120" s="49"/>
      <c r="E120" s="53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8" customHeight="1">
      <c r="A121" s="49"/>
      <c r="B121" s="49"/>
      <c r="C121" s="49"/>
      <c r="D121" s="49"/>
      <c r="E121" s="53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8" customHeight="1">
      <c r="A122" s="49"/>
      <c r="B122" s="49"/>
      <c r="C122" s="49"/>
      <c r="D122" s="49"/>
      <c r="E122" s="53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8" customHeight="1">
      <c r="A123" s="49"/>
      <c r="B123" s="49"/>
      <c r="C123" s="49"/>
      <c r="D123" s="49"/>
      <c r="E123" s="53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8" customHeight="1">
      <c r="A124" s="49"/>
      <c r="B124" s="49"/>
      <c r="C124" s="49"/>
      <c r="D124" s="49"/>
      <c r="E124" s="53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8" customHeight="1">
      <c r="A125" s="49"/>
      <c r="B125" s="49"/>
      <c r="C125" s="49"/>
      <c r="D125" s="49"/>
      <c r="E125" s="53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8" customHeight="1">
      <c r="A126" s="49"/>
      <c r="B126" s="49"/>
      <c r="C126" s="49"/>
      <c r="D126" s="49"/>
      <c r="E126" s="53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8" customHeight="1">
      <c r="A127" s="49"/>
      <c r="B127" s="49"/>
      <c r="C127" s="49"/>
      <c r="D127" s="49"/>
      <c r="E127" s="53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8" customHeight="1">
      <c r="A128" s="49"/>
      <c r="B128" s="49"/>
      <c r="C128" s="49"/>
      <c r="D128" s="49"/>
      <c r="E128" s="53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8" customHeight="1">
      <c r="A129" s="49"/>
      <c r="B129" s="49"/>
      <c r="C129" s="49"/>
      <c r="D129" s="49"/>
      <c r="E129" s="53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8" customHeight="1">
      <c r="A130" s="49"/>
      <c r="B130" s="49"/>
      <c r="C130" s="49"/>
      <c r="D130" s="49"/>
      <c r="E130" s="53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8" customHeight="1">
      <c r="A131" s="49"/>
      <c r="B131" s="49"/>
      <c r="C131" s="49"/>
      <c r="D131" s="49"/>
      <c r="E131" s="53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8" customHeight="1">
      <c r="A132" s="49"/>
      <c r="B132" s="49"/>
      <c r="C132" s="49"/>
      <c r="D132" s="49"/>
      <c r="E132" s="53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8" customHeight="1">
      <c r="A133" s="49"/>
      <c r="B133" s="49"/>
      <c r="C133" s="49"/>
      <c r="D133" s="49"/>
      <c r="E133" s="53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8" customHeight="1">
      <c r="A134" s="49"/>
      <c r="B134" s="49"/>
      <c r="C134" s="49"/>
      <c r="D134" s="49"/>
      <c r="E134" s="53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8" customHeight="1">
      <c r="A135" s="49"/>
      <c r="B135" s="49"/>
      <c r="C135" s="49"/>
      <c r="D135" s="49"/>
      <c r="E135" s="53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8" customHeight="1">
      <c r="A136" s="49"/>
      <c r="B136" s="49"/>
      <c r="C136" s="49"/>
      <c r="D136" s="49"/>
      <c r="E136" s="53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8" customHeight="1">
      <c r="A137" s="49"/>
      <c r="B137" s="49"/>
      <c r="C137" s="49"/>
      <c r="D137" s="49"/>
      <c r="E137" s="53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8" customHeight="1">
      <c r="A138" s="49"/>
      <c r="B138" s="49"/>
      <c r="C138" s="49"/>
      <c r="D138" s="49"/>
      <c r="E138" s="53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8" customHeight="1">
      <c r="A139" s="49"/>
      <c r="B139" s="49"/>
      <c r="C139" s="49"/>
      <c r="D139" s="49"/>
      <c r="E139" s="53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8" customHeight="1">
      <c r="A140" s="49"/>
      <c r="B140" s="49"/>
      <c r="C140" s="49"/>
      <c r="D140" s="49"/>
      <c r="E140" s="53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8" customHeight="1">
      <c r="A141" s="49"/>
      <c r="B141" s="49"/>
      <c r="C141" s="49"/>
      <c r="D141" s="49"/>
      <c r="E141" s="53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8" customHeight="1">
      <c r="A142" s="49"/>
      <c r="B142" s="49"/>
      <c r="C142" s="49"/>
      <c r="D142" s="49"/>
      <c r="E142" s="53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8" customHeight="1">
      <c r="A143" s="49"/>
      <c r="B143" s="49"/>
      <c r="C143" s="49"/>
      <c r="D143" s="49"/>
      <c r="E143" s="53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8" customHeight="1">
      <c r="A144" s="49"/>
      <c r="B144" s="49"/>
      <c r="C144" s="49"/>
      <c r="D144" s="49"/>
      <c r="E144" s="53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8" customHeight="1">
      <c r="A145" s="49"/>
      <c r="B145" s="49"/>
      <c r="C145" s="49"/>
      <c r="D145" s="49"/>
      <c r="E145" s="53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8" customHeight="1">
      <c r="A146" s="49"/>
      <c r="B146" s="49"/>
      <c r="C146" s="49"/>
      <c r="D146" s="49"/>
      <c r="E146" s="53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8" customHeight="1">
      <c r="A147" s="49"/>
      <c r="B147" s="49"/>
      <c r="C147" s="49"/>
      <c r="D147" s="49"/>
      <c r="E147" s="53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8" customHeight="1">
      <c r="A148" s="49"/>
      <c r="B148" s="49"/>
      <c r="C148" s="49"/>
      <c r="D148" s="49"/>
      <c r="E148" s="53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8" customHeight="1">
      <c r="A149" s="49"/>
      <c r="B149" s="49"/>
      <c r="C149" s="49"/>
      <c r="D149" s="49"/>
      <c r="E149" s="53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8" customHeight="1">
      <c r="A150" s="49"/>
      <c r="B150" s="49"/>
      <c r="C150" s="49"/>
      <c r="D150" s="49"/>
      <c r="E150" s="53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8" customHeight="1">
      <c r="A151" s="49"/>
      <c r="B151" s="49"/>
      <c r="C151" s="49"/>
      <c r="D151" s="49"/>
      <c r="E151" s="53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8" customHeight="1">
      <c r="A152" s="49"/>
      <c r="B152" s="49"/>
      <c r="C152" s="49"/>
      <c r="D152" s="49"/>
      <c r="E152" s="53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8" customHeight="1">
      <c r="A153" s="49"/>
      <c r="B153" s="49"/>
      <c r="C153" s="49"/>
      <c r="D153" s="49"/>
      <c r="E153" s="53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8" customHeight="1">
      <c r="A154" s="49"/>
      <c r="B154" s="49"/>
      <c r="C154" s="49"/>
      <c r="D154" s="49"/>
      <c r="E154" s="53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8" customHeight="1">
      <c r="A155" s="49"/>
      <c r="B155" s="49"/>
      <c r="C155" s="49"/>
      <c r="D155" s="49"/>
      <c r="E155" s="53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8" customHeight="1">
      <c r="A156" s="49"/>
      <c r="B156" s="49"/>
      <c r="C156" s="49"/>
      <c r="D156" s="49"/>
      <c r="E156" s="53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8" customHeight="1">
      <c r="A157" s="49"/>
      <c r="B157" s="49"/>
      <c r="C157" s="49"/>
      <c r="D157" s="49"/>
      <c r="E157" s="53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8" customHeight="1">
      <c r="A158" s="49"/>
      <c r="B158" s="49"/>
      <c r="C158" s="49"/>
      <c r="D158" s="49"/>
      <c r="E158" s="53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8" customHeight="1">
      <c r="A159" s="49"/>
      <c r="B159" s="49"/>
      <c r="C159" s="49"/>
      <c r="D159" s="49"/>
      <c r="E159" s="53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8" customHeight="1">
      <c r="A160" s="49"/>
      <c r="B160" s="49"/>
      <c r="C160" s="49"/>
      <c r="D160" s="49"/>
      <c r="E160" s="53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8" customHeight="1">
      <c r="A161" s="49"/>
      <c r="B161" s="49"/>
      <c r="C161" s="49"/>
      <c r="D161" s="49"/>
      <c r="E161" s="53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8" customHeight="1">
      <c r="A162" s="49"/>
      <c r="B162" s="49"/>
      <c r="C162" s="49"/>
      <c r="D162" s="49"/>
      <c r="E162" s="53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8" customHeight="1">
      <c r="A163" s="49"/>
      <c r="B163" s="49"/>
      <c r="C163" s="49"/>
      <c r="D163" s="49"/>
      <c r="E163" s="53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8" customHeight="1">
      <c r="A164" s="49"/>
      <c r="B164" s="49"/>
      <c r="C164" s="49"/>
      <c r="D164" s="49"/>
      <c r="E164" s="53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8" customHeight="1">
      <c r="A165" s="49"/>
      <c r="B165" s="49"/>
      <c r="C165" s="49"/>
      <c r="D165" s="49"/>
      <c r="E165" s="53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8" customHeight="1">
      <c r="A166" s="49"/>
      <c r="B166" s="49"/>
      <c r="C166" s="49"/>
      <c r="D166" s="49"/>
      <c r="E166" s="53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8" customHeight="1">
      <c r="A167" s="49"/>
      <c r="B167" s="49"/>
      <c r="C167" s="49"/>
      <c r="D167" s="49"/>
      <c r="E167" s="53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8" customHeight="1">
      <c r="A168" s="49"/>
      <c r="B168" s="49"/>
      <c r="C168" s="49"/>
      <c r="D168" s="49"/>
      <c r="E168" s="53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8" customHeight="1">
      <c r="A169" s="49"/>
      <c r="B169" s="49"/>
      <c r="C169" s="49"/>
      <c r="D169" s="49"/>
      <c r="E169" s="53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8" customHeight="1">
      <c r="A170" s="49"/>
      <c r="B170" s="49"/>
      <c r="C170" s="49"/>
      <c r="D170" s="49"/>
      <c r="E170" s="53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8" customHeight="1">
      <c r="A171" s="49"/>
      <c r="B171" s="49"/>
      <c r="C171" s="49"/>
      <c r="D171" s="49"/>
      <c r="E171" s="53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8" customHeight="1">
      <c r="A172" s="49"/>
      <c r="B172" s="49"/>
      <c r="C172" s="49"/>
      <c r="D172" s="49"/>
      <c r="E172" s="53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8" customHeight="1">
      <c r="A173" s="49"/>
      <c r="B173" s="49"/>
      <c r="C173" s="49"/>
      <c r="D173" s="49"/>
      <c r="E173" s="53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8" customHeight="1">
      <c r="A174" s="49"/>
      <c r="B174" s="49"/>
      <c r="C174" s="49"/>
      <c r="D174" s="49"/>
      <c r="E174" s="53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8" customHeight="1">
      <c r="A175" s="49"/>
      <c r="B175" s="49"/>
      <c r="C175" s="49"/>
      <c r="D175" s="49"/>
      <c r="E175" s="53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8" customHeight="1">
      <c r="A176" s="49"/>
      <c r="B176" s="49"/>
      <c r="C176" s="49"/>
      <c r="D176" s="49"/>
      <c r="E176" s="53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8" customHeight="1">
      <c r="A177" s="49"/>
      <c r="B177" s="49"/>
      <c r="C177" s="49"/>
      <c r="D177" s="49"/>
      <c r="E177" s="53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8" customHeight="1">
      <c r="A178" s="49"/>
      <c r="B178" s="49"/>
      <c r="C178" s="49"/>
      <c r="D178" s="49"/>
      <c r="E178" s="53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8" customHeight="1">
      <c r="A179" s="49"/>
      <c r="B179" s="49"/>
      <c r="C179" s="49"/>
      <c r="D179" s="49"/>
      <c r="E179" s="53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8" customHeight="1">
      <c r="A180" s="49"/>
      <c r="B180" s="49"/>
      <c r="C180" s="49"/>
      <c r="D180" s="49"/>
      <c r="E180" s="53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8" customHeight="1">
      <c r="A181" s="49"/>
      <c r="B181" s="49"/>
      <c r="C181" s="49"/>
      <c r="D181" s="49"/>
      <c r="E181" s="53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8" customHeight="1">
      <c r="A182" s="49"/>
      <c r="B182" s="49"/>
      <c r="C182" s="49"/>
      <c r="D182" s="49"/>
      <c r="E182" s="53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8" customHeight="1">
      <c r="A183" s="49"/>
      <c r="B183" s="49"/>
      <c r="C183" s="49"/>
      <c r="D183" s="49"/>
      <c r="E183" s="53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8" customHeight="1">
      <c r="A184" s="49"/>
      <c r="B184" s="49"/>
      <c r="C184" s="49"/>
      <c r="D184" s="49"/>
      <c r="E184" s="53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8" customHeight="1">
      <c r="A185" s="49"/>
      <c r="B185" s="49"/>
      <c r="C185" s="49"/>
      <c r="D185" s="49"/>
      <c r="E185" s="53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8" customHeight="1">
      <c r="A186" s="49"/>
      <c r="B186" s="49"/>
      <c r="C186" s="49"/>
      <c r="D186" s="49"/>
      <c r="E186" s="53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8" customHeight="1">
      <c r="A187" s="49"/>
      <c r="B187" s="49"/>
      <c r="C187" s="49"/>
      <c r="D187" s="49"/>
      <c r="E187" s="53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8" customHeight="1">
      <c r="A188" s="49"/>
      <c r="B188" s="49"/>
      <c r="C188" s="49"/>
      <c r="D188" s="49"/>
      <c r="E188" s="53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8" customHeight="1">
      <c r="A189" s="49"/>
      <c r="B189" s="49"/>
      <c r="C189" s="49"/>
      <c r="D189" s="49"/>
      <c r="E189" s="53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8" customHeight="1">
      <c r="A190" s="49"/>
      <c r="B190" s="49"/>
      <c r="C190" s="49"/>
      <c r="D190" s="49"/>
      <c r="E190" s="53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8" customHeight="1">
      <c r="A191" s="49"/>
      <c r="B191" s="49"/>
      <c r="C191" s="49"/>
      <c r="D191" s="49"/>
      <c r="E191" s="53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8" customHeight="1">
      <c r="A192" s="49"/>
      <c r="B192" s="49"/>
      <c r="C192" s="49"/>
      <c r="D192" s="49"/>
      <c r="E192" s="53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8" customHeight="1">
      <c r="A193" s="49"/>
      <c r="B193" s="49"/>
      <c r="C193" s="49"/>
      <c r="D193" s="49"/>
      <c r="E193" s="53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8" customHeight="1">
      <c r="A194" s="49"/>
      <c r="B194" s="49"/>
      <c r="C194" s="49"/>
      <c r="D194" s="49"/>
      <c r="E194" s="53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8" customHeight="1">
      <c r="A195" s="49"/>
      <c r="B195" s="49"/>
      <c r="C195" s="49"/>
      <c r="D195" s="49"/>
      <c r="E195" s="53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8" customHeight="1">
      <c r="A196" s="49"/>
      <c r="B196" s="49"/>
      <c r="C196" s="49"/>
      <c r="D196" s="49"/>
      <c r="E196" s="53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8" customHeight="1">
      <c r="A197" s="49"/>
      <c r="B197" s="49"/>
      <c r="C197" s="49"/>
      <c r="D197" s="49"/>
      <c r="E197" s="53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8" customHeight="1">
      <c r="A198" s="49"/>
      <c r="B198" s="49"/>
      <c r="C198" s="49"/>
      <c r="D198" s="49"/>
      <c r="E198" s="53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8" customHeight="1">
      <c r="A199" s="49"/>
      <c r="B199" s="49"/>
      <c r="C199" s="49"/>
      <c r="D199" s="49"/>
      <c r="E199" s="53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8" customHeight="1">
      <c r="A200" s="49"/>
      <c r="B200" s="49"/>
      <c r="C200" s="49"/>
      <c r="D200" s="49"/>
      <c r="E200" s="53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8" customHeight="1">
      <c r="A201" s="49"/>
      <c r="B201" s="49"/>
      <c r="C201" s="49"/>
      <c r="D201" s="49"/>
      <c r="E201" s="53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8" customHeight="1">
      <c r="A202" s="49"/>
      <c r="B202" s="49"/>
      <c r="C202" s="49"/>
      <c r="D202" s="49"/>
      <c r="E202" s="53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8" customHeight="1">
      <c r="A203" s="49"/>
      <c r="B203" s="49"/>
      <c r="C203" s="49"/>
      <c r="D203" s="49"/>
      <c r="E203" s="53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8" customHeight="1">
      <c r="A204" s="49"/>
      <c r="B204" s="49"/>
      <c r="C204" s="49"/>
      <c r="D204" s="49"/>
      <c r="E204" s="53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8" customHeight="1">
      <c r="A205" s="49"/>
      <c r="B205" s="49"/>
      <c r="C205" s="49"/>
      <c r="D205" s="49"/>
      <c r="E205" s="53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8" customHeight="1">
      <c r="A206" s="49"/>
      <c r="B206" s="49"/>
      <c r="C206" s="49"/>
      <c r="D206" s="49"/>
      <c r="E206" s="53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8" customHeight="1">
      <c r="A207" s="49"/>
      <c r="B207" s="49"/>
      <c r="C207" s="49"/>
      <c r="D207" s="49"/>
      <c r="E207" s="53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8" customHeight="1">
      <c r="A208" s="49"/>
      <c r="B208" s="49"/>
      <c r="C208" s="49"/>
      <c r="D208" s="49"/>
      <c r="E208" s="53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8" customHeight="1">
      <c r="A209" s="49"/>
      <c r="B209" s="49"/>
      <c r="C209" s="49"/>
      <c r="D209" s="49"/>
      <c r="E209" s="53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8" customHeight="1">
      <c r="A210" s="49"/>
      <c r="B210" s="49"/>
      <c r="C210" s="49"/>
      <c r="D210" s="49"/>
      <c r="E210" s="53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8" customHeight="1">
      <c r="A211" s="49"/>
      <c r="B211" s="49"/>
      <c r="C211" s="49"/>
      <c r="D211" s="49"/>
      <c r="E211" s="53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8" customHeight="1">
      <c r="A212" s="49"/>
      <c r="B212" s="49"/>
      <c r="C212" s="49"/>
      <c r="D212" s="49"/>
      <c r="E212" s="53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8" customHeight="1">
      <c r="A213" s="49"/>
      <c r="B213" s="49"/>
      <c r="C213" s="49"/>
      <c r="D213" s="49"/>
      <c r="E213" s="53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8" customHeight="1">
      <c r="A214" s="49"/>
      <c r="B214" s="49"/>
      <c r="C214" s="49"/>
      <c r="D214" s="49"/>
      <c r="E214" s="53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8" customHeight="1">
      <c r="A215" s="49"/>
      <c r="B215" s="49"/>
      <c r="C215" s="49"/>
      <c r="D215" s="49"/>
      <c r="E215" s="53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8" customHeight="1">
      <c r="A216" s="49"/>
      <c r="B216" s="49"/>
      <c r="C216" s="49"/>
      <c r="D216" s="49"/>
      <c r="E216" s="53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8" customHeight="1">
      <c r="A217" s="49"/>
      <c r="B217" s="49"/>
      <c r="C217" s="49"/>
      <c r="D217" s="49"/>
      <c r="E217" s="53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8" customHeight="1">
      <c r="A218" s="49"/>
      <c r="B218" s="49"/>
      <c r="C218" s="49"/>
      <c r="D218" s="49"/>
      <c r="E218" s="53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8" customHeight="1">
      <c r="A219" s="49"/>
      <c r="B219" s="49"/>
      <c r="C219" s="49"/>
      <c r="D219" s="49"/>
      <c r="E219" s="53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8" customHeight="1">
      <c r="A220" s="49"/>
      <c r="B220" s="49"/>
      <c r="C220" s="49"/>
      <c r="D220" s="49"/>
      <c r="E220" s="53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8" customHeight="1">
      <c r="A221" s="49"/>
      <c r="B221" s="49"/>
      <c r="C221" s="49"/>
      <c r="D221" s="49"/>
      <c r="E221" s="53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8" customHeight="1">
      <c r="A222" s="49"/>
      <c r="B222" s="49"/>
      <c r="C222" s="49"/>
      <c r="D222" s="49"/>
      <c r="E222" s="53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8" customHeight="1">
      <c r="A223" s="49"/>
      <c r="B223" s="49"/>
      <c r="C223" s="49"/>
      <c r="D223" s="49"/>
      <c r="E223" s="53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8" customHeight="1">
      <c r="A224" s="49"/>
      <c r="B224" s="49"/>
      <c r="C224" s="49"/>
      <c r="D224" s="49"/>
      <c r="E224" s="53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8" customHeight="1">
      <c r="A225" s="49"/>
      <c r="B225" s="49"/>
      <c r="C225" s="49"/>
      <c r="D225" s="49"/>
      <c r="E225" s="53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8" customHeight="1">
      <c r="A226" s="49"/>
      <c r="B226" s="49"/>
      <c r="C226" s="49"/>
      <c r="D226" s="49"/>
      <c r="E226" s="53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8" customHeight="1">
      <c r="A227" s="49"/>
      <c r="B227" s="49"/>
      <c r="C227" s="49"/>
      <c r="D227" s="49"/>
      <c r="E227" s="53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8" customHeight="1">
      <c r="A228" s="49"/>
      <c r="B228" s="49"/>
      <c r="C228" s="49"/>
      <c r="D228" s="49"/>
      <c r="E228" s="53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8" customHeight="1">
      <c r="A229" s="49"/>
      <c r="B229" s="49"/>
      <c r="C229" s="49"/>
      <c r="D229" s="49"/>
      <c r="E229" s="53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8" customHeight="1">
      <c r="A230" s="49"/>
      <c r="B230" s="49"/>
      <c r="C230" s="49"/>
      <c r="D230" s="49"/>
      <c r="E230" s="53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8" customHeight="1">
      <c r="A231" s="49"/>
      <c r="B231" s="49"/>
      <c r="C231" s="49"/>
      <c r="D231" s="49"/>
      <c r="E231" s="53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8" customHeight="1">
      <c r="A232" s="49"/>
      <c r="B232" s="49"/>
      <c r="C232" s="49"/>
      <c r="D232" s="49"/>
      <c r="E232" s="53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8" customHeight="1">
      <c r="A233" s="49"/>
      <c r="B233" s="49"/>
      <c r="C233" s="49"/>
      <c r="D233" s="49"/>
      <c r="E233" s="53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8" customHeight="1">
      <c r="A234" s="49"/>
      <c r="B234" s="49"/>
      <c r="C234" s="49"/>
      <c r="D234" s="49"/>
      <c r="E234" s="53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8" customHeight="1">
      <c r="A235" s="49"/>
      <c r="B235" s="49"/>
      <c r="C235" s="49"/>
      <c r="D235" s="49"/>
      <c r="E235" s="53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8" customHeight="1">
      <c r="A236" s="49"/>
      <c r="B236" s="49"/>
      <c r="C236" s="49"/>
      <c r="D236" s="49"/>
      <c r="E236" s="53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8" customHeight="1">
      <c r="A237" s="49"/>
      <c r="B237" s="49"/>
      <c r="C237" s="49"/>
      <c r="D237" s="49"/>
      <c r="E237" s="53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8" customHeight="1">
      <c r="A238" s="49"/>
      <c r="B238" s="49"/>
      <c r="C238" s="49"/>
      <c r="D238" s="49"/>
      <c r="E238" s="53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8" customHeight="1">
      <c r="A239" s="49"/>
      <c r="B239" s="49"/>
      <c r="C239" s="49"/>
      <c r="D239" s="49"/>
      <c r="E239" s="53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8" customHeight="1">
      <c r="A240" s="49"/>
      <c r="B240" s="49"/>
      <c r="C240" s="49"/>
      <c r="D240" s="49"/>
      <c r="E240" s="53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8" customHeight="1">
      <c r="A241" s="49"/>
      <c r="B241" s="49"/>
      <c r="C241" s="49"/>
      <c r="D241" s="49"/>
      <c r="E241" s="53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8" customHeight="1">
      <c r="A242" s="49"/>
      <c r="B242" s="49"/>
      <c r="C242" s="49"/>
      <c r="D242" s="49"/>
      <c r="E242" s="53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8" customHeight="1">
      <c r="A243" s="49"/>
      <c r="B243" s="49"/>
      <c r="C243" s="49"/>
      <c r="D243" s="49"/>
      <c r="E243" s="53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8" customHeight="1">
      <c r="A244" s="49"/>
      <c r="B244" s="49"/>
      <c r="C244" s="49"/>
      <c r="D244" s="49"/>
      <c r="E244" s="53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8" customHeight="1">
      <c r="A245" s="49"/>
      <c r="B245" s="49"/>
      <c r="C245" s="49"/>
      <c r="D245" s="49"/>
      <c r="E245" s="53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8" customHeight="1">
      <c r="A246" s="49"/>
      <c r="B246" s="49"/>
      <c r="C246" s="49"/>
      <c r="D246" s="49"/>
      <c r="E246" s="53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8" customHeight="1">
      <c r="A247" s="49"/>
      <c r="B247" s="49"/>
      <c r="C247" s="49"/>
      <c r="D247" s="49"/>
      <c r="E247" s="53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8" customHeight="1">
      <c r="A248" s="49"/>
      <c r="B248" s="49"/>
      <c r="C248" s="49"/>
      <c r="D248" s="49"/>
      <c r="E248" s="53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8" customHeight="1">
      <c r="A249" s="49"/>
      <c r="B249" s="49"/>
      <c r="C249" s="49"/>
      <c r="D249" s="49"/>
      <c r="E249" s="53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8" customHeight="1">
      <c r="A250" s="49"/>
      <c r="B250" s="49"/>
      <c r="C250" s="49"/>
      <c r="D250" s="49"/>
      <c r="E250" s="53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8" customHeight="1">
      <c r="A251" s="49"/>
      <c r="B251" s="49"/>
      <c r="C251" s="49"/>
      <c r="D251" s="49"/>
      <c r="E251" s="53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8" customHeight="1">
      <c r="A252" s="49"/>
      <c r="B252" s="49"/>
      <c r="C252" s="49"/>
      <c r="D252" s="49"/>
      <c r="E252" s="53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8" customHeight="1">
      <c r="A253" s="49"/>
      <c r="B253" s="49"/>
      <c r="C253" s="49"/>
      <c r="D253" s="49"/>
      <c r="E253" s="53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8" customHeight="1">
      <c r="A254" s="49"/>
      <c r="B254" s="49"/>
      <c r="C254" s="49"/>
      <c r="D254" s="49"/>
      <c r="E254" s="53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8" customHeight="1">
      <c r="A255" s="49"/>
      <c r="B255" s="49"/>
      <c r="C255" s="49"/>
      <c r="D255" s="49"/>
      <c r="E255" s="53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8" customHeight="1">
      <c r="A256" s="49"/>
      <c r="B256" s="49"/>
      <c r="C256" s="49"/>
      <c r="D256" s="49"/>
      <c r="E256" s="53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8" customHeight="1">
      <c r="A257" s="49"/>
      <c r="B257" s="49"/>
      <c r="C257" s="49"/>
      <c r="D257" s="49"/>
      <c r="E257" s="53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8" customHeight="1">
      <c r="A258" s="49"/>
      <c r="B258" s="49"/>
      <c r="C258" s="49"/>
      <c r="D258" s="49"/>
      <c r="E258" s="53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8" customHeight="1">
      <c r="A259" s="49"/>
      <c r="B259" s="49"/>
      <c r="C259" s="49"/>
      <c r="D259" s="49"/>
      <c r="E259" s="53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8" customHeight="1">
      <c r="A260" s="49"/>
      <c r="B260" s="49"/>
      <c r="C260" s="49"/>
      <c r="D260" s="49"/>
      <c r="E260" s="53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8" customHeight="1">
      <c r="A261" s="49"/>
      <c r="B261" s="49"/>
      <c r="C261" s="49"/>
      <c r="D261" s="49"/>
      <c r="E261" s="53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8" customHeight="1">
      <c r="A262" s="49"/>
      <c r="B262" s="49"/>
      <c r="C262" s="49"/>
      <c r="D262" s="49"/>
      <c r="E262" s="53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8" customHeight="1">
      <c r="A263" s="49"/>
      <c r="B263" s="49"/>
      <c r="C263" s="49"/>
      <c r="D263" s="49"/>
      <c r="E263" s="53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8" customHeight="1">
      <c r="A264" s="49"/>
      <c r="B264" s="49"/>
      <c r="C264" s="49"/>
      <c r="D264" s="49"/>
      <c r="E264" s="53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8" customHeight="1">
      <c r="A265" s="49"/>
      <c r="B265" s="49"/>
      <c r="C265" s="49"/>
      <c r="D265" s="49"/>
      <c r="E265" s="53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8" customHeight="1">
      <c r="A266" s="49"/>
      <c r="B266" s="49"/>
      <c r="C266" s="49"/>
      <c r="D266" s="49"/>
      <c r="E266" s="53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8" customHeight="1">
      <c r="A267" s="49"/>
      <c r="B267" s="49"/>
      <c r="C267" s="49"/>
      <c r="D267" s="49"/>
      <c r="E267" s="53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8" customHeight="1">
      <c r="A268" s="49"/>
      <c r="B268" s="49"/>
      <c r="C268" s="49"/>
      <c r="D268" s="49"/>
      <c r="E268" s="53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8" customHeight="1">
      <c r="A269" s="49"/>
      <c r="B269" s="49"/>
      <c r="C269" s="49"/>
      <c r="D269" s="49"/>
      <c r="E269" s="53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8" customHeight="1">
      <c r="A270" s="49"/>
      <c r="B270" s="49"/>
      <c r="C270" s="49"/>
      <c r="D270" s="49"/>
      <c r="E270" s="53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8" customHeight="1">
      <c r="A271" s="49"/>
      <c r="B271" s="49"/>
      <c r="C271" s="49"/>
      <c r="D271" s="49"/>
      <c r="E271" s="53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8" customHeight="1">
      <c r="A272" s="49"/>
      <c r="B272" s="49"/>
      <c r="C272" s="49"/>
      <c r="D272" s="49"/>
      <c r="E272" s="53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8" customHeight="1">
      <c r="A273" s="49"/>
      <c r="B273" s="49"/>
      <c r="C273" s="49"/>
      <c r="D273" s="49"/>
      <c r="E273" s="53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8" customHeight="1">
      <c r="A274" s="49"/>
      <c r="B274" s="49"/>
      <c r="C274" s="49"/>
      <c r="D274" s="49"/>
      <c r="E274" s="53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8" customHeight="1">
      <c r="A275" s="49"/>
      <c r="B275" s="49"/>
      <c r="C275" s="49"/>
      <c r="D275" s="49"/>
      <c r="E275" s="53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8" customHeight="1">
      <c r="A276" s="49"/>
      <c r="B276" s="49"/>
      <c r="C276" s="49"/>
      <c r="D276" s="49"/>
      <c r="E276" s="53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8" customHeight="1">
      <c r="A277" s="49"/>
      <c r="B277" s="49"/>
      <c r="C277" s="49"/>
      <c r="D277" s="49"/>
      <c r="E277" s="53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8" customHeight="1">
      <c r="A278" s="49"/>
      <c r="B278" s="49"/>
      <c r="C278" s="49"/>
      <c r="D278" s="49"/>
      <c r="E278" s="53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8" customHeight="1">
      <c r="A279" s="49"/>
      <c r="B279" s="49"/>
      <c r="C279" s="49"/>
      <c r="D279" s="49"/>
      <c r="E279" s="53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8" customHeight="1">
      <c r="A280" s="49"/>
      <c r="B280" s="49"/>
      <c r="C280" s="49"/>
      <c r="D280" s="49"/>
      <c r="E280" s="53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8" customHeight="1">
      <c r="A281" s="49"/>
      <c r="B281" s="49"/>
      <c r="C281" s="49"/>
      <c r="D281" s="49"/>
      <c r="E281" s="53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8" customHeight="1">
      <c r="A282" s="49"/>
      <c r="B282" s="49"/>
      <c r="C282" s="49"/>
      <c r="D282" s="49"/>
      <c r="E282" s="53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8" customHeight="1">
      <c r="A283" s="49"/>
      <c r="B283" s="49"/>
      <c r="C283" s="49"/>
      <c r="D283" s="49"/>
      <c r="E283" s="53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8" customHeight="1">
      <c r="A284" s="49"/>
      <c r="B284" s="49"/>
      <c r="C284" s="49"/>
      <c r="D284" s="49"/>
      <c r="E284" s="53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8" customHeight="1">
      <c r="A285" s="49"/>
      <c r="B285" s="49"/>
      <c r="C285" s="49"/>
      <c r="D285" s="49"/>
      <c r="E285" s="53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8" customHeight="1">
      <c r="A286" s="49"/>
      <c r="B286" s="49"/>
      <c r="C286" s="49"/>
      <c r="D286" s="49"/>
      <c r="E286" s="53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8" customHeight="1">
      <c r="A287" s="49"/>
      <c r="B287" s="49"/>
      <c r="C287" s="49"/>
      <c r="D287" s="49"/>
      <c r="E287" s="53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8" customHeight="1">
      <c r="A288" s="49"/>
      <c r="B288" s="49"/>
      <c r="C288" s="49"/>
      <c r="D288" s="49"/>
      <c r="E288" s="53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8" customHeight="1">
      <c r="A289" s="49"/>
      <c r="B289" s="49"/>
      <c r="C289" s="49"/>
      <c r="D289" s="49"/>
      <c r="E289" s="53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8" customHeight="1">
      <c r="A290" s="49"/>
      <c r="B290" s="49"/>
      <c r="C290" s="49"/>
      <c r="D290" s="49"/>
      <c r="E290" s="53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8" customHeight="1">
      <c r="A291" s="49"/>
      <c r="B291" s="49"/>
      <c r="C291" s="49"/>
      <c r="D291" s="49"/>
      <c r="E291" s="53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8" customHeight="1">
      <c r="A292" s="49"/>
      <c r="B292" s="49"/>
      <c r="C292" s="49"/>
      <c r="D292" s="49"/>
      <c r="E292" s="53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8" customHeight="1">
      <c r="A293" s="49"/>
      <c r="B293" s="49"/>
      <c r="C293" s="49"/>
      <c r="D293" s="49"/>
      <c r="E293" s="53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8" customHeight="1">
      <c r="A294" s="49"/>
      <c r="B294" s="49"/>
      <c r="C294" s="49"/>
      <c r="D294" s="49"/>
      <c r="E294" s="53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8" customHeight="1">
      <c r="A295" s="49"/>
      <c r="B295" s="49"/>
      <c r="C295" s="49"/>
      <c r="D295" s="49"/>
      <c r="E295" s="53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8" customHeight="1">
      <c r="A296" s="49"/>
      <c r="B296" s="49"/>
      <c r="C296" s="49"/>
      <c r="D296" s="49"/>
      <c r="E296" s="53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8" customHeight="1">
      <c r="A297" s="49"/>
      <c r="B297" s="49"/>
      <c r="C297" s="49"/>
      <c r="D297" s="49"/>
      <c r="E297" s="53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8" customHeight="1">
      <c r="A298" s="49"/>
      <c r="B298" s="49"/>
      <c r="C298" s="49"/>
      <c r="D298" s="49"/>
      <c r="E298" s="53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8" customHeight="1">
      <c r="A299" s="49"/>
      <c r="B299" s="49"/>
      <c r="C299" s="49"/>
      <c r="D299" s="49"/>
      <c r="E299" s="53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8" customHeight="1">
      <c r="A300" s="49"/>
      <c r="B300" s="49"/>
      <c r="C300" s="49"/>
      <c r="D300" s="49"/>
      <c r="E300" s="53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8" customHeight="1">
      <c r="A301" s="49"/>
      <c r="B301" s="49"/>
      <c r="C301" s="49"/>
      <c r="D301" s="49"/>
      <c r="E301" s="53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8" customHeight="1">
      <c r="A302" s="49"/>
      <c r="B302" s="49"/>
      <c r="C302" s="49"/>
      <c r="D302" s="49"/>
      <c r="E302" s="53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8" customHeight="1">
      <c r="A303" s="49"/>
      <c r="B303" s="49"/>
      <c r="C303" s="49"/>
      <c r="D303" s="49"/>
      <c r="E303" s="53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8" customHeight="1">
      <c r="A304" s="49"/>
      <c r="B304" s="49"/>
      <c r="C304" s="49"/>
      <c r="D304" s="49"/>
      <c r="E304" s="53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8" customHeight="1">
      <c r="A305" s="49"/>
      <c r="B305" s="49"/>
      <c r="C305" s="49"/>
      <c r="D305" s="49"/>
      <c r="E305" s="53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8" customHeight="1">
      <c r="A306" s="49"/>
      <c r="B306" s="49"/>
      <c r="C306" s="49"/>
      <c r="D306" s="49"/>
      <c r="E306" s="53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8" customHeight="1">
      <c r="A307" s="49"/>
      <c r="B307" s="49"/>
      <c r="C307" s="49"/>
      <c r="D307" s="49"/>
      <c r="E307" s="53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8" customHeight="1">
      <c r="A308" s="49"/>
      <c r="B308" s="49"/>
      <c r="C308" s="49"/>
      <c r="D308" s="49"/>
      <c r="E308" s="53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8" customHeight="1">
      <c r="A309" s="49"/>
      <c r="B309" s="49"/>
      <c r="C309" s="49"/>
      <c r="D309" s="49"/>
      <c r="E309" s="53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8" customHeight="1">
      <c r="A310" s="49"/>
      <c r="B310" s="49"/>
      <c r="C310" s="49"/>
      <c r="D310" s="49"/>
      <c r="E310" s="53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8" customHeight="1">
      <c r="A311" s="49"/>
      <c r="B311" s="49"/>
      <c r="C311" s="49"/>
      <c r="D311" s="49"/>
      <c r="E311" s="53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8" customHeight="1">
      <c r="A312" s="49"/>
      <c r="B312" s="49"/>
      <c r="C312" s="49"/>
      <c r="D312" s="49"/>
      <c r="E312" s="53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8" customHeight="1">
      <c r="A313" s="49"/>
      <c r="B313" s="49"/>
      <c r="C313" s="49"/>
      <c r="D313" s="49"/>
      <c r="E313" s="53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8" customHeight="1">
      <c r="A314" s="49"/>
      <c r="B314" s="49"/>
      <c r="C314" s="49"/>
      <c r="D314" s="49"/>
      <c r="E314" s="53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8" customHeight="1">
      <c r="A315" s="49"/>
      <c r="B315" s="49"/>
      <c r="C315" s="49"/>
      <c r="D315" s="49"/>
      <c r="E315" s="53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8" customHeight="1">
      <c r="A316" s="49"/>
      <c r="B316" s="49"/>
      <c r="C316" s="49"/>
      <c r="D316" s="49"/>
      <c r="E316" s="53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8" customHeight="1">
      <c r="A317" s="49"/>
      <c r="B317" s="49"/>
      <c r="C317" s="49"/>
      <c r="D317" s="49"/>
      <c r="E317" s="53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8" customHeight="1">
      <c r="A318" s="49"/>
      <c r="B318" s="49"/>
      <c r="C318" s="49"/>
      <c r="D318" s="49"/>
      <c r="E318" s="53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8" customHeight="1">
      <c r="A319" s="49"/>
      <c r="B319" s="49"/>
      <c r="C319" s="49"/>
      <c r="D319" s="49"/>
      <c r="E319" s="53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8" customHeight="1">
      <c r="A320" s="49"/>
      <c r="B320" s="49"/>
      <c r="C320" s="49"/>
      <c r="D320" s="49"/>
      <c r="E320" s="53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8" customHeight="1">
      <c r="A321" s="49"/>
      <c r="B321" s="49"/>
      <c r="C321" s="49"/>
      <c r="D321" s="49"/>
      <c r="E321" s="53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8" customHeight="1">
      <c r="A322" s="49"/>
      <c r="B322" s="49"/>
      <c r="C322" s="49"/>
      <c r="D322" s="49"/>
      <c r="E322" s="53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8" customHeight="1">
      <c r="A323" s="49"/>
      <c r="B323" s="49"/>
      <c r="C323" s="49"/>
      <c r="D323" s="49"/>
      <c r="E323" s="53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8" customHeight="1">
      <c r="A324" s="49"/>
      <c r="B324" s="49"/>
      <c r="C324" s="49"/>
      <c r="D324" s="49"/>
      <c r="E324" s="53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8" customHeight="1">
      <c r="A325" s="49"/>
      <c r="B325" s="49"/>
      <c r="C325" s="49"/>
      <c r="D325" s="49"/>
      <c r="E325" s="53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8" customHeight="1">
      <c r="A326" s="49"/>
      <c r="B326" s="49"/>
      <c r="C326" s="49"/>
      <c r="D326" s="49"/>
      <c r="E326" s="53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8" customHeight="1">
      <c r="A327" s="49"/>
      <c r="B327" s="49"/>
      <c r="C327" s="49"/>
      <c r="D327" s="49"/>
      <c r="E327" s="53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8" customHeight="1">
      <c r="A328" s="49"/>
      <c r="B328" s="49"/>
      <c r="C328" s="49"/>
      <c r="D328" s="49"/>
      <c r="E328" s="53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8" customHeight="1">
      <c r="A329" s="49"/>
      <c r="B329" s="49"/>
      <c r="C329" s="49"/>
      <c r="D329" s="49"/>
      <c r="E329" s="53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8" customHeight="1">
      <c r="A330" s="49"/>
      <c r="B330" s="49"/>
      <c r="C330" s="49"/>
      <c r="D330" s="49"/>
      <c r="E330" s="53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8" customHeight="1">
      <c r="A331" s="49"/>
      <c r="B331" s="49"/>
      <c r="C331" s="49"/>
      <c r="D331" s="49"/>
      <c r="E331" s="53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8" customHeight="1">
      <c r="A332" s="49"/>
      <c r="B332" s="49"/>
      <c r="C332" s="49"/>
      <c r="D332" s="49"/>
      <c r="E332" s="53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8" customHeight="1">
      <c r="A333" s="49"/>
      <c r="B333" s="49"/>
      <c r="C333" s="49"/>
      <c r="D333" s="49"/>
      <c r="E333" s="53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8" customHeight="1">
      <c r="A334" s="49"/>
      <c r="B334" s="49"/>
      <c r="C334" s="49"/>
      <c r="D334" s="49"/>
      <c r="E334" s="53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8" customHeight="1">
      <c r="A335" s="49"/>
      <c r="B335" s="49"/>
      <c r="C335" s="49"/>
      <c r="D335" s="49"/>
      <c r="E335" s="53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8" customHeight="1">
      <c r="A336" s="49"/>
      <c r="B336" s="49"/>
      <c r="C336" s="49"/>
      <c r="D336" s="49"/>
      <c r="E336" s="53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8" customHeight="1">
      <c r="A337" s="49"/>
      <c r="B337" s="49"/>
      <c r="C337" s="49"/>
      <c r="D337" s="49"/>
      <c r="E337" s="53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8" customHeight="1">
      <c r="A338" s="49"/>
      <c r="B338" s="49"/>
      <c r="C338" s="49"/>
      <c r="D338" s="49"/>
      <c r="E338" s="53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8" customHeight="1">
      <c r="A339" s="49"/>
      <c r="B339" s="49"/>
      <c r="C339" s="49"/>
      <c r="D339" s="49"/>
      <c r="E339" s="53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8" customHeight="1">
      <c r="A340" s="49"/>
      <c r="B340" s="49"/>
      <c r="C340" s="49"/>
      <c r="D340" s="49"/>
      <c r="E340" s="53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8" customHeight="1">
      <c r="A341" s="49"/>
      <c r="B341" s="49"/>
      <c r="C341" s="49"/>
      <c r="D341" s="49"/>
      <c r="E341" s="53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8" customHeight="1">
      <c r="A342" s="49"/>
      <c r="B342" s="49"/>
      <c r="C342" s="49"/>
      <c r="D342" s="49"/>
      <c r="E342" s="53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8" customHeight="1">
      <c r="A343" s="49"/>
      <c r="B343" s="49"/>
      <c r="C343" s="49"/>
      <c r="D343" s="49"/>
      <c r="E343" s="53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8" customHeight="1">
      <c r="A344" s="49"/>
      <c r="B344" s="49"/>
      <c r="C344" s="49"/>
      <c r="D344" s="49"/>
      <c r="E344" s="53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8" customHeight="1">
      <c r="A345" s="49"/>
      <c r="B345" s="49"/>
      <c r="C345" s="49"/>
      <c r="D345" s="49"/>
      <c r="E345" s="53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8" customHeight="1">
      <c r="A346" s="49"/>
      <c r="B346" s="49"/>
      <c r="C346" s="49"/>
      <c r="D346" s="49"/>
      <c r="E346" s="53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8" customHeight="1">
      <c r="A347" s="49"/>
      <c r="B347" s="49"/>
      <c r="C347" s="49"/>
      <c r="D347" s="49"/>
      <c r="E347" s="53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8" customHeight="1">
      <c r="A348" s="49"/>
      <c r="B348" s="49"/>
      <c r="C348" s="49"/>
      <c r="D348" s="49"/>
      <c r="E348" s="53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8" customHeight="1">
      <c r="A349" s="49"/>
      <c r="B349" s="49"/>
      <c r="C349" s="49"/>
      <c r="D349" s="49"/>
      <c r="E349" s="53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8" customHeight="1">
      <c r="A350" s="49"/>
      <c r="B350" s="49"/>
      <c r="C350" s="49"/>
      <c r="D350" s="49"/>
      <c r="E350" s="53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8" customHeight="1">
      <c r="A351" s="49"/>
      <c r="B351" s="49"/>
      <c r="C351" s="49"/>
      <c r="D351" s="49"/>
      <c r="E351" s="53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8" customHeight="1">
      <c r="A352" s="49"/>
      <c r="B352" s="49"/>
      <c r="C352" s="49"/>
      <c r="D352" s="49"/>
      <c r="E352" s="53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8" customHeight="1">
      <c r="A353" s="49"/>
      <c r="B353" s="49"/>
      <c r="C353" s="49"/>
      <c r="D353" s="49"/>
      <c r="E353" s="53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8" customHeight="1">
      <c r="A354" s="49"/>
      <c r="B354" s="49"/>
      <c r="C354" s="49"/>
      <c r="D354" s="49"/>
      <c r="E354" s="53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8" customHeight="1">
      <c r="A355" s="49"/>
      <c r="B355" s="49"/>
      <c r="C355" s="49"/>
      <c r="D355" s="49"/>
      <c r="E355" s="53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8" customHeight="1">
      <c r="A356" s="49"/>
      <c r="B356" s="49"/>
      <c r="C356" s="49"/>
      <c r="D356" s="49"/>
      <c r="E356" s="53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8" customHeight="1">
      <c r="A357" s="49"/>
      <c r="B357" s="49"/>
      <c r="C357" s="49"/>
      <c r="D357" s="49"/>
      <c r="E357" s="53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8" customHeight="1">
      <c r="A358" s="49"/>
      <c r="B358" s="49"/>
      <c r="C358" s="49"/>
      <c r="D358" s="49"/>
      <c r="E358" s="53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8" customHeight="1">
      <c r="A359" s="49"/>
      <c r="B359" s="49"/>
      <c r="C359" s="49"/>
      <c r="D359" s="49"/>
      <c r="E359" s="53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8" customHeight="1">
      <c r="A360" s="49"/>
      <c r="B360" s="49"/>
      <c r="C360" s="49"/>
      <c r="D360" s="49"/>
      <c r="E360" s="53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8" customHeight="1">
      <c r="A361" s="49"/>
      <c r="B361" s="49"/>
      <c r="C361" s="49"/>
      <c r="D361" s="49"/>
      <c r="E361" s="53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8" customHeight="1">
      <c r="A362" s="49"/>
      <c r="B362" s="49"/>
      <c r="C362" s="49"/>
      <c r="D362" s="49"/>
      <c r="E362" s="53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8" customHeight="1">
      <c r="A363" s="49"/>
      <c r="B363" s="49"/>
      <c r="C363" s="49"/>
      <c r="D363" s="49"/>
      <c r="E363" s="53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8" customHeight="1">
      <c r="A364" s="49"/>
      <c r="B364" s="49"/>
      <c r="C364" s="49"/>
      <c r="D364" s="49"/>
      <c r="E364" s="53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8" customHeight="1">
      <c r="A365" s="49"/>
      <c r="B365" s="49"/>
      <c r="C365" s="49"/>
      <c r="D365" s="49"/>
      <c r="E365" s="53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8" customHeight="1">
      <c r="A366" s="49"/>
      <c r="B366" s="49"/>
      <c r="C366" s="49"/>
      <c r="D366" s="49"/>
      <c r="E366" s="53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8" customHeight="1">
      <c r="A367" s="49"/>
      <c r="B367" s="49"/>
      <c r="C367" s="49"/>
      <c r="D367" s="49"/>
      <c r="E367" s="53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8" customHeight="1">
      <c r="A368" s="49"/>
      <c r="B368" s="49"/>
      <c r="C368" s="49"/>
      <c r="D368" s="49"/>
      <c r="E368" s="53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8" customHeight="1">
      <c r="A369" s="49"/>
      <c r="B369" s="49"/>
      <c r="C369" s="49"/>
      <c r="D369" s="49"/>
      <c r="E369" s="53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8" customHeight="1">
      <c r="A370" s="49"/>
      <c r="B370" s="49"/>
      <c r="C370" s="49"/>
      <c r="D370" s="49"/>
      <c r="E370" s="53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8" customHeight="1">
      <c r="A371" s="49"/>
      <c r="B371" s="49"/>
      <c r="C371" s="49"/>
      <c r="D371" s="49"/>
      <c r="E371" s="53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8" customHeight="1">
      <c r="A372" s="49"/>
      <c r="B372" s="49"/>
      <c r="C372" s="49"/>
      <c r="D372" s="49"/>
      <c r="E372" s="53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8" customHeight="1">
      <c r="A373" s="49"/>
      <c r="B373" s="49"/>
      <c r="C373" s="49"/>
      <c r="D373" s="49"/>
      <c r="E373" s="53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8" customHeight="1">
      <c r="A374" s="49"/>
      <c r="B374" s="49"/>
      <c r="C374" s="49"/>
      <c r="D374" s="49"/>
      <c r="E374" s="53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8" customHeight="1">
      <c r="A375" s="49"/>
      <c r="B375" s="49"/>
      <c r="C375" s="49"/>
      <c r="D375" s="49"/>
      <c r="E375" s="53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8" customHeight="1">
      <c r="A376" s="49"/>
      <c r="B376" s="49"/>
      <c r="C376" s="49"/>
      <c r="D376" s="49"/>
      <c r="E376" s="53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8" customHeight="1">
      <c r="A377" s="49"/>
      <c r="B377" s="49"/>
      <c r="C377" s="49"/>
      <c r="D377" s="49"/>
      <c r="E377" s="53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8" customHeight="1">
      <c r="A378" s="49"/>
      <c r="B378" s="49"/>
      <c r="C378" s="49"/>
      <c r="D378" s="49"/>
      <c r="E378" s="53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8" customHeight="1">
      <c r="A379" s="49"/>
      <c r="B379" s="49"/>
      <c r="C379" s="49"/>
      <c r="D379" s="49"/>
      <c r="E379" s="53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8" customHeight="1">
      <c r="A380" s="49"/>
      <c r="B380" s="49"/>
      <c r="C380" s="49"/>
      <c r="D380" s="49"/>
      <c r="E380" s="53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8" customHeight="1">
      <c r="A381" s="49"/>
      <c r="B381" s="49"/>
      <c r="C381" s="49"/>
      <c r="D381" s="49"/>
      <c r="E381" s="53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8" customHeight="1">
      <c r="A382" s="49"/>
      <c r="B382" s="49"/>
      <c r="C382" s="49"/>
      <c r="D382" s="49"/>
      <c r="E382" s="53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8" customHeight="1">
      <c r="A383" s="49"/>
      <c r="B383" s="49"/>
      <c r="C383" s="49"/>
      <c r="D383" s="49"/>
      <c r="E383" s="53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8" customHeight="1">
      <c r="A384" s="49"/>
      <c r="B384" s="49"/>
      <c r="C384" s="49"/>
      <c r="D384" s="49"/>
      <c r="E384" s="53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8" customHeight="1">
      <c r="A385" s="49"/>
      <c r="B385" s="49"/>
      <c r="C385" s="49"/>
      <c r="D385" s="49"/>
      <c r="E385" s="53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8" customHeight="1">
      <c r="A386" s="49"/>
      <c r="B386" s="49"/>
      <c r="C386" s="49"/>
      <c r="D386" s="49"/>
      <c r="E386" s="53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8" customHeight="1">
      <c r="A387" s="49"/>
      <c r="B387" s="49"/>
      <c r="C387" s="49"/>
      <c r="D387" s="49"/>
      <c r="E387" s="53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8" customHeight="1">
      <c r="A388" s="49"/>
      <c r="B388" s="49"/>
      <c r="C388" s="49"/>
      <c r="D388" s="49"/>
      <c r="E388" s="53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8" customHeight="1">
      <c r="A389" s="49"/>
      <c r="B389" s="49"/>
      <c r="C389" s="49"/>
      <c r="D389" s="49"/>
      <c r="E389" s="53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8" customHeight="1">
      <c r="A390" s="49"/>
      <c r="B390" s="49"/>
      <c r="C390" s="49"/>
      <c r="D390" s="49"/>
      <c r="E390" s="53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8" customHeight="1">
      <c r="A391" s="49"/>
      <c r="B391" s="49"/>
      <c r="C391" s="49"/>
      <c r="D391" s="49"/>
      <c r="E391" s="53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8" customHeight="1">
      <c r="A392" s="49"/>
      <c r="B392" s="49"/>
      <c r="C392" s="49"/>
      <c r="D392" s="49"/>
      <c r="E392" s="53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8" customHeight="1">
      <c r="A393" s="49"/>
      <c r="B393" s="49"/>
      <c r="C393" s="49"/>
      <c r="D393" s="49"/>
      <c r="E393" s="53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8" customHeight="1">
      <c r="A394" s="49"/>
      <c r="B394" s="49"/>
      <c r="C394" s="49"/>
      <c r="D394" s="49"/>
      <c r="E394" s="53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8" customHeight="1">
      <c r="A395" s="49"/>
      <c r="B395" s="49"/>
      <c r="C395" s="49"/>
      <c r="D395" s="49"/>
      <c r="E395" s="53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8" customHeight="1">
      <c r="A396" s="49"/>
      <c r="B396" s="49"/>
      <c r="C396" s="49"/>
      <c r="D396" s="49"/>
      <c r="E396" s="53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8" customHeight="1">
      <c r="A397" s="49"/>
      <c r="B397" s="49"/>
      <c r="C397" s="49"/>
      <c r="D397" s="49"/>
      <c r="E397" s="53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8" customHeight="1">
      <c r="A398" s="49"/>
      <c r="B398" s="49"/>
      <c r="C398" s="49"/>
      <c r="D398" s="49"/>
      <c r="E398" s="53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8" customHeight="1">
      <c r="A399" s="49"/>
      <c r="B399" s="49"/>
      <c r="C399" s="49"/>
      <c r="D399" s="49"/>
      <c r="E399" s="53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8" customHeight="1">
      <c r="A400" s="49"/>
      <c r="B400" s="49"/>
      <c r="C400" s="49"/>
      <c r="D400" s="49"/>
      <c r="E400" s="53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8" customHeight="1">
      <c r="A401" s="49"/>
      <c r="B401" s="49"/>
      <c r="C401" s="49"/>
      <c r="D401" s="49"/>
      <c r="E401" s="53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8" customHeight="1">
      <c r="A402" s="49"/>
      <c r="B402" s="49"/>
      <c r="C402" s="49"/>
      <c r="D402" s="49"/>
      <c r="E402" s="53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8" customHeight="1">
      <c r="A403" s="49"/>
      <c r="B403" s="49"/>
      <c r="C403" s="49"/>
      <c r="D403" s="49"/>
      <c r="E403" s="53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8" customHeight="1">
      <c r="A404" s="49"/>
      <c r="B404" s="49"/>
      <c r="C404" s="49"/>
      <c r="D404" s="49"/>
      <c r="E404" s="53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8" customHeight="1">
      <c r="A405" s="49"/>
      <c r="B405" s="49"/>
      <c r="C405" s="49"/>
      <c r="D405" s="49"/>
      <c r="E405" s="53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8" customHeight="1">
      <c r="A406" s="49"/>
      <c r="B406" s="49"/>
      <c r="C406" s="49"/>
      <c r="D406" s="49"/>
      <c r="E406" s="53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8" customHeight="1">
      <c r="A407" s="49"/>
      <c r="B407" s="49"/>
      <c r="C407" s="49"/>
      <c r="D407" s="49"/>
      <c r="E407" s="53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8" customHeight="1">
      <c r="A408" s="49"/>
      <c r="B408" s="49"/>
      <c r="C408" s="49"/>
      <c r="D408" s="49"/>
      <c r="E408" s="53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8" customHeight="1">
      <c r="A409" s="49"/>
      <c r="B409" s="49"/>
      <c r="C409" s="49"/>
      <c r="D409" s="49"/>
      <c r="E409" s="53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8" customHeight="1">
      <c r="A410" s="49"/>
      <c r="B410" s="49"/>
      <c r="C410" s="49"/>
      <c r="D410" s="49"/>
      <c r="E410" s="53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8" customHeight="1">
      <c r="A411" s="49"/>
      <c r="B411" s="49"/>
      <c r="C411" s="49"/>
      <c r="D411" s="49"/>
      <c r="E411" s="53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8" customHeight="1">
      <c r="A412" s="49"/>
      <c r="B412" s="49"/>
      <c r="C412" s="49"/>
      <c r="D412" s="49"/>
      <c r="E412" s="53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8" customHeight="1">
      <c r="A413" s="49"/>
      <c r="B413" s="49"/>
      <c r="C413" s="49"/>
      <c r="D413" s="49"/>
      <c r="E413" s="53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8" customHeight="1">
      <c r="A414" s="49"/>
      <c r="B414" s="49"/>
      <c r="C414" s="49"/>
      <c r="D414" s="49"/>
      <c r="E414" s="53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8" customHeight="1">
      <c r="A415" s="49"/>
      <c r="B415" s="49"/>
      <c r="C415" s="49"/>
      <c r="D415" s="49"/>
      <c r="E415" s="53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8" customHeight="1">
      <c r="A416" s="49"/>
      <c r="B416" s="49"/>
      <c r="C416" s="49"/>
      <c r="D416" s="49"/>
      <c r="E416" s="53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8" customHeight="1">
      <c r="A417" s="49"/>
      <c r="B417" s="49"/>
      <c r="C417" s="49"/>
      <c r="D417" s="49"/>
      <c r="E417" s="53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8" customHeight="1">
      <c r="A418" s="49"/>
      <c r="B418" s="49"/>
      <c r="C418" s="49"/>
      <c r="D418" s="49"/>
      <c r="E418" s="53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8" customHeight="1">
      <c r="A419" s="49"/>
      <c r="B419" s="49"/>
      <c r="C419" s="49"/>
      <c r="D419" s="49"/>
      <c r="E419" s="53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8" customHeight="1">
      <c r="A420" s="49"/>
      <c r="B420" s="49"/>
      <c r="C420" s="49"/>
      <c r="D420" s="49"/>
      <c r="E420" s="53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8" customHeight="1">
      <c r="A421" s="49"/>
      <c r="B421" s="49"/>
      <c r="C421" s="49"/>
      <c r="D421" s="49"/>
      <c r="E421" s="53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8" customHeight="1">
      <c r="A422" s="49"/>
      <c r="B422" s="49"/>
      <c r="C422" s="49"/>
      <c r="D422" s="49"/>
      <c r="E422" s="53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8" customHeight="1">
      <c r="A423" s="49"/>
      <c r="B423" s="49"/>
      <c r="C423" s="49"/>
      <c r="D423" s="49"/>
      <c r="E423" s="53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8" customHeight="1">
      <c r="A424" s="49"/>
      <c r="B424" s="49"/>
      <c r="C424" s="49"/>
      <c r="D424" s="49"/>
      <c r="E424" s="53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8" customHeight="1">
      <c r="A425" s="49"/>
      <c r="B425" s="49"/>
      <c r="C425" s="49"/>
      <c r="D425" s="49"/>
      <c r="E425" s="53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8" customHeight="1">
      <c r="A426" s="49"/>
      <c r="B426" s="49"/>
      <c r="C426" s="49"/>
      <c r="D426" s="49"/>
      <c r="E426" s="53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8" customHeight="1">
      <c r="A427" s="49"/>
      <c r="B427" s="49"/>
      <c r="C427" s="49"/>
      <c r="D427" s="49"/>
      <c r="E427" s="53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8" customHeight="1">
      <c r="A428" s="49"/>
      <c r="B428" s="49"/>
      <c r="C428" s="49"/>
      <c r="D428" s="49"/>
      <c r="E428" s="53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8" customHeight="1">
      <c r="A429" s="49"/>
      <c r="B429" s="49"/>
      <c r="C429" s="49"/>
      <c r="D429" s="49"/>
      <c r="E429" s="53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8" customHeight="1">
      <c r="A430" s="49"/>
      <c r="B430" s="49"/>
      <c r="C430" s="49"/>
      <c r="D430" s="49"/>
      <c r="E430" s="53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8" customHeight="1">
      <c r="A431" s="49"/>
      <c r="B431" s="49"/>
      <c r="C431" s="49"/>
      <c r="D431" s="49"/>
      <c r="E431" s="53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8" customHeight="1">
      <c r="A432" s="49"/>
      <c r="B432" s="49"/>
      <c r="C432" s="49"/>
      <c r="D432" s="49"/>
      <c r="E432" s="53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8" customHeight="1">
      <c r="A433" s="49"/>
      <c r="B433" s="49"/>
      <c r="C433" s="49"/>
      <c r="D433" s="49"/>
      <c r="E433" s="53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8" customHeight="1">
      <c r="A434" s="49"/>
      <c r="B434" s="49"/>
      <c r="C434" s="49"/>
      <c r="D434" s="49"/>
      <c r="E434" s="53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8" customHeight="1">
      <c r="A435" s="49"/>
      <c r="B435" s="49"/>
      <c r="C435" s="49"/>
      <c r="D435" s="49"/>
      <c r="E435" s="53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8" customHeight="1">
      <c r="A436" s="49"/>
      <c r="B436" s="49"/>
      <c r="C436" s="49"/>
      <c r="D436" s="49"/>
      <c r="E436" s="53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8" customHeight="1">
      <c r="A437" s="49"/>
      <c r="B437" s="49"/>
      <c r="C437" s="49"/>
      <c r="D437" s="49"/>
      <c r="E437" s="53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8" customHeight="1">
      <c r="A438" s="49"/>
      <c r="B438" s="49"/>
      <c r="C438" s="49"/>
      <c r="D438" s="49"/>
      <c r="E438" s="53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8" customHeight="1">
      <c r="A439" s="49"/>
      <c r="B439" s="49"/>
      <c r="C439" s="49"/>
      <c r="D439" s="49"/>
      <c r="E439" s="53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8" customHeight="1">
      <c r="A440" s="49"/>
      <c r="B440" s="49"/>
      <c r="C440" s="49"/>
      <c r="D440" s="49"/>
      <c r="E440" s="53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8" customHeight="1">
      <c r="A441" s="49"/>
      <c r="B441" s="49"/>
      <c r="C441" s="49"/>
      <c r="D441" s="49"/>
      <c r="E441" s="53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8" customHeight="1">
      <c r="A442" s="49"/>
      <c r="B442" s="49"/>
      <c r="C442" s="49"/>
      <c r="D442" s="49"/>
      <c r="E442" s="53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8" customHeight="1">
      <c r="A443" s="49"/>
      <c r="B443" s="49"/>
      <c r="C443" s="49"/>
      <c r="D443" s="49"/>
      <c r="E443" s="53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8" customHeight="1">
      <c r="A444" s="49"/>
      <c r="B444" s="49"/>
      <c r="C444" s="49"/>
      <c r="D444" s="49"/>
      <c r="E444" s="53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8" customHeight="1">
      <c r="A445" s="49"/>
      <c r="B445" s="49"/>
      <c r="C445" s="49"/>
      <c r="D445" s="49"/>
      <c r="E445" s="53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8" customHeight="1">
      <c r="A446" s="49"/>
      <c r="B446" s="49"/>
      <c r="C446" s="49"/>
      <c r="D446" s="49"/>
      <c r="E446" s="53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8" customHeight="1">
      <c r="A447" s="49"/>
      <c r="B447" s="49"/>
      <c r="C447" s="49"/>
      <c r="D447" s="49"/>
      <c r="E447" s="53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8" customHeight="1">
      <c r="A448" s="49"/>
      <c r="B448" s="49"/>
      <c r="C448" s="49"/>
      <c r="D448" s="49"/>
      <c r="E448" s="53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8" customHeight="1">
      <c r="A449" s="49"/>
      <c r="B449" s="49"/>
      <c r="C449" s="49"/>
      <c r="D449" s="49"/>
      <c r="E449" s="53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8" customHeight="1">
      <c r="A450" s="49"/>
      <c r="B450" s="49"/>
      <c r="C450" s="49"/>
      <c r="D450" s="49"/>
      <c r="E450" s="53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8" customHeight="1">
      <c r="A451" s="49"/>
      <c r="B451" s="49"/>
      <c r="C451" s="49"/>
      <c r="D451" s="49"/>
      <c r="E451" s="53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8" customHeight="1">
      <c r="A452" s="49"/>
      <c r="B452" s="49"/>
      <c r="C452" s="49"/>
      <c r="D452" s="49"/>
      <c r="E452" s="53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8" customHeight="1">
      <c r="A453" s="49"/>
      <c r="B453" s="49"/>
      <c r="C453" s="49"/>
      <c r="D453" s="49"/>
      <c r="E453" s="53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8" customHeight="1">
      <c r="A454" s="49"/>
      <c r="B454" s="49"/>
      <c r="C454" s="49"/>
      <c r="D454" s="49"/>
      <c r="E454" s="53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8" customHeight="1">
      <c r="A455" s="49"/>
      <c r="B455" s="49"/>
      <c r="C455" s="49"/>
      <c r="D455" s="49"/>
      <c r="E455" s="53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8" customHeight="1">
      <c r="A456" s="49"/>
      <c r="B456" s="49"/>
      <c r="C456" s="49"/>
      <c r="D456" s="49"/>
      <c r="E456" s="53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8" customHeight="1">
      <c r="A457" s="49"/>
      <c r="B457" s="49"/>
      <c r="C457" s="49"/>
      <c r="D457" s="49"/>
      <c r="E457" s="53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8" customHeight="1">
      <c r="A458" s="49"/>
      <c r="B458" s="49"/>
      <c r="C458" s="49"/>
      <c r="D458" s="49"/>
      <c r="E458" s="53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8" customHeight="1">
      <c r="A459" s="49"/>
      <c r="B459" s="49"/>
      <c r="C459" s="49"/>
      <c r="D459" s="49"/>
      <c r="E459" s="53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8" customHeight="1">
      <c r="A460" s="49"/>
      <c r="B460" s="49"/>
      <c r="C460" s="49"/>
      <c r="D460" s="49"/>
      <c r="E460" s="53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8" customHeight="1">
      <c r="A461" s="49"/>
      <c r="B461" s="49"/>
      <c r="C461" s="49"/>
      <c r="D461" s="49"/>
      <c r="E461" s="53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8" customHeight="1">
      <c r="A462" s="49"/>
      <c r="B462" s="49"/>
      <c r="C462" s="49"/>
      <c r="D462" s="49"/>
      <c r="E462" s="53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8" customHeight="1">
      <c r="A463" s="49"/>
      <c r="B463" s="49"/>
      <c r="C463" s="49"/>
      <c r="D463" s="49"/>
      <c r="E463" s="53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8" customHeight="1">
      <c r="A464" s="49"/>
      <c r="B464" s="49"/>
      <c r="C464" s="49"/>
      <c r="D464" s="49"/>
      <c r="E464" s="53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8" customHeight="1">
      <c r="A465" s="49"/>
      <c r="B465" s="49"/>
      <c r="C465" s="49"/>
      <c r="D465" s="49"/>
      <c r="E465" s="53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8" customHeight="1">
      <c r="A466" s="49"/>
      <c r="B466" s="49"/>
      <c r="C466" s="49"/>
      <c r="D466" s="49"/>
      <c r="E466" s="53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8" customHeight="1">
      <c r="A467" s="49"/>
      <c r="B467" s="49"/>
      <c r="C467" s="49"/>
      <c r="D467" s="49"/>
      <c r="E467" s="53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8" customHeight="1">
      <c r="A468" s="49"/>
      <c r="B468" s="49"/>
      <c r="C468" s="49"/>
      <c r="D468" s="49"/>
      <c r="E468" s="53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8" customHeight="1">
      <c r="A469" s="49"/>
      <c r="B469" s="49"/>
      <c r="C469" s="49"/>
      <c r="D469" s="49"/>
      <c r="E469" s="53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8" customHeight="1">
      <c r="A470" s="49"/>
      <c r="B470" s="49"/>
      <c r="C470" s="49"/>
      <c r="D470" s="49"/>
      <c r="E470" s="53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8" customHeight="1">
      <c r="A471" s="49"/>
      <c r="B471" s="49"/>
      <c r="C471" s="49"/>
      <c r="D471" s="49"/>
      <c r="E471" s="53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8" customHeight="1">
      <c r="A472" s="49"/>
      <c r="B472" s="49"/>
      <c r="C472" s="49"/>
      <c r="D472" s="49"/>
      <c r="E472" s="53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8" customHeight="1">
      <c r="A473" s="49"/>
      <c r="B473" s="49"/>
      <c r="C473" s="49"/>
      <c r="D473" s="49"/>
      <c r="E473" s="53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8" customHeight="1">
      <c r="A474" s="49"/>
      <c r="B474" s="49"/>
      <c r="C474" s="49"/>
      <c r="D474" s="49"/>
      <c r="E474" s="53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8" customHeight="1">
      <c r="A475" s="49"/>
      <c r="B475" s="49"/>
      <c r="C475" s="49"/>
      <c r="D475" s="49"/>
      <c r="E475" s="53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8" customHeight="1">
      <c r="A476" s="49"/>
      <c r="B476" s="49"/>
      <c r="C476" s="49"/>
      <c r="D476" s="49"/>
      <c r="E476" s="53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8" customHeight="1">
      <c r="A477" s="49"/>
      <c r="B477" s="49"/>
      <c r="C477" s="49"/>
      <c r="D477" s="49"/>
      <c r="E477" s="53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8" customHeight="1">
      <c r="A478" s="49"/>
      <c r="B478" s="49"/>
      <c r="C478" s="49"/>
      <c r="D478" s="49"/>
      <c r="E478" s="53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8" customHeight="1">
      <c r="A479" s="49"/>
      <c r="B479" s="49"/>
      <c r="C479" s="49"/>
      <c r="D479" s="49"/>
      <c r="E479" s="53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8" customHeight="1">
      <c r="A480" s="49"/>
      <c r="B480" s="49"/>
      <c r="C480" s="49"/>
      <c r="D480" s="49"/>
      <c r="E480" s="53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8" customHeight="1">
      <c r="A481" s="49"/>
      <c r="B481" s="49"/>
      <c r="C481" s="49"/>
      <c r="D481" s="49"/>
      <c r="E481" s="53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8" customHeight="1">
      <c r="A482" s="49"/>
      <c r="B482" s="49"/>
      <c r="C482" s="49"/>
      <c r="D482" s="49"/>
      <c r="E482" s="53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8" customHeight="1">
      <c r="A483" s="49"/>
      <c r="B483" s="49"/>
      <c r="C483" s="49"/>
      <c r="D483" s="49"/>
      <c r="E483" s="53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8" customHeight="1">
      <c r="A484" s="49"/>
      <c r="B484" s="49"/>
      <c r="C484" s="49"/>
      <c r="D484" s="49"/>
      <c r="E484" s="53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8" customHeight="1">
      <c r="A485" s="49"/>
      <c r="B485" s="49"/>
      <c r="C485" s="49"/>
      <c r="D485" s="49"/>
      <c r="E485" s="53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8" customHeight="1">
      <c r="A486" s="49"/>
      <c r="B486" s="49"/>
      <c r="C486" s="49"/>
      <c r="D486" s="49"/>
      <c r="E486" s="53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8" customHeight="1">
      <c r="A487" s="49"/>
      <c r="B487" s="49"/>
      <c r="C487" s="49"/>
      <c r="D487" s="49"/>
      <c r="E487" s="53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8" customHeight="1">
      <c r="A488" s="49"/>
      <c r="B488" s="49"/>
      <c r="C488" s="49"/>
      <c r="D488" s="49"/>
      <c r="E488" s="53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8" customHeight="1">
      <c r="A489" s="49"/>
      <c r="B489" s="49"/>
      <c r="C489" s="49"/>
      <c r="D489" s="49"/>
      <c r="E489" s="53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8" customHeight="1">
      <c r="A490" s="49"/>
      <c r="B490" s="49"/>
      <c r="C490" s="49"/>
      <c r="D490" s="49"/>
      <c r="E490" s="53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8" customHeight="1">
      <c r="A491" s="49"/>
      <c r="B491" s="49"/>
      <c r="C491" s="49"/>
      <c r="D491" s="49"/>
      <c r="E491" s="53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8" customHeight="1">
      <c r="A492" s="49"/>
      <c r="B492" s="49"/>
      <c r="C492" s="49"/>
      <c r="D492" s="49"/>
      <c r="E492" s="53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8" customHeight="1">
      <c r="A493" s="49"/>
      <c r="B493" s="49"/>
      <c r="C493" s="49"/>
      <c r="D493" s="49"/>
      <c r="E493" s="53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8" customHeight="1">
      <c r="A494" s="49"/>
      <c r="B494" s="49"/>
      <c r="C494" s="49"/>
      <c r="D494" s="49"/>
      <c r="E494" s="53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8" customHeight="1">
      <c r="A495" s="49"/>
      <c r="B495" s="49"/>
      <c r="C495" s="49"/>
      <c r="D495" s="49"/>
      <c r="E495" s="53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8" customHeight="1">
      <c r="A496" s="49"/>
      <c r="B496" s="49"/>
      <c r="C496" s="49"/>
      <c r="D496" s="49"/>
      <c r="E496" s="53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8" customHeight="1">
      <c r="A497" s="49"/>
      <c r="B497" s="49"/>
      <c r="C497" s="49"/>
      <c r="D497" s="49"/>
      <c r="E497" s="53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8" customHeight="1">
      <c r="A498" s="49"/>
      <c r="B498" s="49"/>
      <c r="C498" s="49"/>
      <c r="D498" s="49"/>
      <c r="E498" s="53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8" customHeight="1">
      <c r="A499" s="49"/>
      <c r="B499" s="49"/>
      <c r="C499" s="49"/>
      <c r="D499" s="49"/>
      <c r="E499" s="53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8" customHeight="1">
      <c r="A500" s="49"/>
      <c r="B500" s="49"/>
      <c r="C500" s="49"/>
      <c r="D500" s="49"/>
      <c r="E500" s="53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8" customHeight="1">
      <c r="A501" s="49"/>
      <c r="B501" s="49"/>
      <c r="C501" s="49"/>
      <c r="D501" s="49"/>
      <c r="E501" s="53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8" customHeight="1">
      <c r="A502" s="49"/>
      <c r="B502" s="49"/>
      <c r="C502" s="49"/>
      <c r="D502" s="49"/>
      <c r="E502" s="53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8" customHeight="1">
      <c r="A503" s="49"/>
      <c r="B503" s="49"/>
      <c r="C503" s="49"/>
      <c r="D503" s="49"/>
      <c r="E503" s="53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8" customHeight="1">
      <c r="A504" s="49"/>
      <c r="B504" s="49"/>
      <c r="C504" s="49"/>
      <c r="D504" s="49"/>
      <c r="E504" s="53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8" customHeight="1">
      <c r="A505" s="49"/>
      <c r="B505" s="49"/>
      <c r="C505" s="49"/>
      <c r="D505" s="49"/>
      <c r="E505" s="53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8" customHeight="1">
      <c r="A506" s="49"/>
      <c r="B506" s="49"/>
      <c r="C506" s="49"/>
      <c r="D506" s="49"/>
      <c r="E506" s="53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8" customHeight="1">
      <c r="A507" s="49"/>
      <c r="B507" s="49"/>
      <c r="C507" s="49"/>
      <c r="D507" s="49"/>
      <c r="E507" s="53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8" customHeight="1">
      <c r="A508" s="49"/>
      <c r="B508" s="49"/>
      <c r="C508" s="49"/>
      <c r="D508" s="49"/>
      <c r="E508" s="53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8" customHeight="1">
      <c r="A509" s="49"/>
      <c r="B509" s="49"/>
      <c r="C509" s="49"/>
      <c r="D509" s="49"/>
      <c r="E509" s="53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8" customHeight="1">
      <c r="A510" s="49"/>
      <c r="B510" s="49"/>
      <c r="C510" s="49"/>
      <c r="D510" s="49"/>
      <c r="E510" s="53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8" customHeight="1">
      <c r="A511" s="49"/>
      <c r="B511" s="49"/>
      <c r="C511" s="49"/>
      <c r="D511" s="49"/>
      <c r="E511" s="53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8" customHeight="1">
      <c r="A512" s="49"/>
      <c r="B512" s="49"/>
      <c r="C512" s="49"/>
      <c r="D512" s="49"/>
      <c r="E512" s="53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8" customHeight="1">
      <c r="A513" s="49"/>
      <c r="B513" s="49"/>
      <c r="C513" s="49"/>
      <c r="D513" s="49"/>
      <c r="E513" s="53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8" customHeight="1">
      <c r="A514" s="49"/>
      <c r="B514" s="49"/>
      <c r="C514" s="49"/>
      <c r="D514" s="49"/>
      <c r="E514" s="53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8" customHeight="1">
      <c r="A515" s="49"/>
      <c r="B515" s="49"/>
      <c r="C515" s="49"/>
      <c r="D515" s="49"/>
      <c r="E515" s="53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8" customHeight="1">
      <c r="A516" s="49"/>
      <c r="B516" s="49"/>
      <c r="C516" s="49"/>
      <c r="D516" s="49"/>
      <c r="E516" s="53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8" customHeight="1">
      <c r="A517" s="49"/>
      <c r="B517" s="49"/>
      <c r="C517" s="49"/>
      <c r="D517" s="49"/>
      <c r="E517" s="53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8" customHeight="1">
      <c r="A518" s="49"/>
      <c r="B518" s="49"/>
      <c r="C518" s="49"/>
      <c r="D518" s="49"/>
      <c r="E518" s="53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8" customHeight="1">
      <c r="A519" s="49"/>
      <c r="B519" s="49"/>
      <c r="C519" s="49"/>
      <c r="D519" s="49"/>
      <c r="E519" s="53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8" customHeight="1">
      <c r="A520" s="49"/>
      <c r="B520" s="49"/>
      <c r="C520" s="49"/>
      <c r="D520" s="49"/>
      <c r="E520" s="53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8" customHeight="1">
      <c r="A521" s="49"/>
      <c r="B521" s="49"/>
      <c r="C521" s="49"/>
      <c r="D521" s="49"/>
      <c r="E521" s="53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8" customHeight="1">
      <c r="A522" s="49"/>
      <c r="B522" s="49"/>
      <c r="C522" s="49"/>
      <c r="D522" s="49"/>
      <c r="E522" s="53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8" customHeight="1">
      <c r="A523" s="49"/>
      <c r="B523" s="49"/>
      <c r="C523" s="49"/>
      <c r="D523" s="49"/>
      <c r="E523" s="53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8" customHeight="1">
      <c r="A524" s="49"/>
      <c r="B524" s="49"/>
      <c r="C524" s="49"/>
      <c r="D524" s="49"/>
      <c r="E524" s="53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8" customHeight="1">
      <c r="A525" s="49"/>
      <c r="B525" s="49"/>
      <c r="C525" s="49"/>
      <c r="D525" s="49"/>
      <c r="E525" s="53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8" customHeight="1">
      <c r="A526" s="49"/>
      <c r="B526" s="49"/>
      <c r="C526" s="49"/>
      <c r="D526" s="49"/>
      <c r="E526" s="53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8" customHeight="1">
      <c r="A527" s="49"/>
      <c r="B527" s="49"/>
      <c r="C527" s="49"/>
      <c r="D527" s="49"/>
      <c r="E527" s="53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8" customHeight="1">
      <c r="A528" s="49"/>
      <c r="B528" s="49"/>
      <c r="C528" s="49"/>
      <c r="D528" s="49"/>
      <c r="E528" s="53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8" customHeight="1">
      <c r="A529" s="49"/>
      <c r="B529" s="49"/>
      <c r="C529" s="49"/>
      <c r="D529" s="49"/>
      <c r="E529" s="53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8" customHeight="1">
      <c r="A530" s="49"/>
      <c r="B530" s="49"/>
      <c r="C530" s="49"/>
      <c r="D530" s="49"/>
      <c r="E530" s="53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8" customHeight="1">
      <c r="A531" s="49"/>
      <c r="B531" s="49"/>
      <c r="C531" s="49"/>
      <c r="D531" s="49"/>
      <c r="E531" s="53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8" customHeight="1">
      <c r="A532" s="49"/>
      <c r="B532" s="49"/>
      <c r="C532" s="49"/>
      <c r="D532" s="49"/>
      <c r="E532" s="53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8" customHeight="1">
      <c r="A533" s="49"/>
      <c r="B533" s="49"/>
      <c r="C533" s="49"/>
      <c r="D533" s="49"/>
      <c r="E533" s="53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8" customHeight="1">
      <c r="A534" s="49"/>
      <c r="B534" s="49"/>
      <c r="C534" s="49"/>
      <c r="D534" s="49"/>
      <c r="E534" s="53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8" customHeight="1">
      <c r="A535" s="49"/>
      <c r="B535" s="49"/>
      <c r="C535" s="49"/>
      <c r="D535" s="49"/>
      <c r="E535" s="53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8" customHeight="1">
      <c r="A536" s="49"/>
      <c r="B536" s="49"/>
      <c r="C536" s="49"/>
      <c r="D536" s="49"/>
      <c r="E536" s="53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8" customHeight="1">
      <c r="A537" s="49"/>
      <c r="B537" s="49"/>
      <c r="C537" s="49"/>
      <c r="D537" s="49"/>
      <c r="E537" s="53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8" customHeight="1">
      <c r="A538" s="49"/>
      <c r="B538" s="49"/>
      <c r="C538" s="49"/>
      <c r="D538" s="49"/>
      <c r="E538" s="53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8" customHeight="1">
      <c r="A539" s="49"/>
      <c r="B539" s="49"/>
      <c r="C539" s="49"/>
      <c r="D539" s="49"/>
      <c r="E539" s="53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8" customHeight="1">
      <c r="A540" s="49"/>
      <c r="B540" s="49"/>
      <c r="C540" s="49"/>
      <c r="D540" s="49"/>
      <c r="E540" s="53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8" customHeight="1">
      <c r="A541" s="49"/>
      <c r="B541" s="49"/>
      <c r="C541" s="49"/>
      <c r="D541" s="49"/>
      <c r="E541" s="53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8" customHeight="1">
      <c r="A542" s="49"/>
      <c r="B542" s="49"/>
      <c r="C542" s="49"/>
      <c r="D542" s="49"/>
      <c r="E542" s="53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8" customHeight="1">
      <c r="A543" s="49"/>
      <c r="B543" s="49"/>
      <c r="C543" s="49"/>
      <c r="D543" s="49"/>
      <c r="E543" s="53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8" customHeight="1">
      <c r="A544" s="49"/>
      <c r="B544" s="49"/>
      <c r="C544" s="49"/>
      <c r="D544" s="49"/>
      <c r="E544" s="53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8" customHeight="1">
      <c r="A545" s="49"/>
      <c r="B545" s="49"/>
      <c r="C545" s="49"/>
      <c r="D545" s="49"/>
      <c r="E545" s="53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8" customHeight="1">
      <c r="A546" s="49"/>
      <c r="B546" s="49"/>
      <c r="C546" s="49"/>
      <c r="D546" s="49"/>
      <c r="E546" s="53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8" customHeight="1">
      <c r="A547" s="49"/>
      <c r="B547" s="49"/>
      <c r="C547" s="49"/>
      <c r="D547" s="49"/>
      <c r="E547" s="53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8" customHeight="1">
      <c r="A548" s="49"/>
      <c r="B548" s="49"/>
      <c r="C548" s="49"/>
      <c r="D548" s="49"/>
      <c r="E548" s="53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8" customHeight="1">
      <c r="A549" s="49"/>
      <c r="B549" s="49"/>
      <c r="C549" s="49"/>
      <c r="D549" s="49"/>
      <c r="E549" s="53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8" customHeight="1">
      <c r="A550" s="49"/>
      <c r="B550" s="49"/>
      <c r="C550" s="49"/>
      <c r="D550" s="49"/>
      <c r="E550" s="53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8" customHeight="1">
      <c r="A551" s="49"/>
      <c r="B551" s="49"/>
      <c r="C551" s="49"/>
      <c r="D551" s="49"/>
      <c r="E551" s="53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8" customHeight="1">
      <c r="A552" s="49"/>
      <c r="B552" s="49"/>
      <c r="C552" s="49"/>
      <c r="D552" s="49"/>
      <c r="E552" s="53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8" customHeight="1">
      <c r="A553" s="49"/>
      <c r="B553" s="49"/>
      <c r="C553" s="49"/>
      <c r="D553" s="49"/>
      <c r="E553" s="53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8" customHeight="1">
      <c r="A554" s="49"/>
      <c r="B554" s="49"/>
      <c r="C554" s="49"/>
      <c r="D554" s="49"/>
      <c r="E554" s="53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8" customHeight="1">
      <c r="A555" s="49"/>
      <c r="B555" s="49"/>
      <c r="C555" s="49"/>
      <c r="D555" s="49"/>
      <c r="E555" s="53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8" customHeight="1">
      <c r="A556" s="49"/>
      <c r="B556" s="49"/>
      <c r="C556" s="49"/>
      <c r="D556" s="49"/>
      <c r="E556" s="53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8" customHeight="1">
      <c r="A557" s="49"/>
      <c r="B557" s="49"/>
      <c r="C557" s="49"/>
      <c r="D557" s="49"/>
      <c r="E557" s="53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8" customHeight="1">
      <c r="A558" s="49"/>
      <c r="B558" s="49"/>
      <c r="C558" s="49"/>
      <c r="D558" s="49"/>
      <c r="E558" s="53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8" customHeight="1">
      <c r="A559" s="49"/>
      <c r="B559" s="49"/>
      <c r="C559" s="49"/>
      <c r="D559" s="49"/>
      <c r="E559" s="53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8" customHeight="1">
      <c r="A560" s="49"/>
      <c r="B560" s="49"/>
      <c r="C560" s="49"/>
      <c r="D560" s="49"/>
      <c r="E560" s="53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8" customHeight="1">
      <c r="A561" s="49"/>
      <c r="B561" s="49"/>
      <c r="C561" s="49"/>
      <c r="D561" s="49"/>
      <c r="E561" s="53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8" customHeight="1">
      <c r="A562" s="49"/>
      <c r="B562" s="49"/>
      <c r="C562" s="49"/>
      <c r="D562" s="49"/>
      <c r="E562" s="53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8" customHeight="1">
      <c r="A563" s="49"/>
      <c r="B563" s="49"/>
      <c r="C563" s="49"/>
      <c r="D563" s="49"/>
      <c r="E563" s="53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8" customHeight="1">
      <c r="A564" s="49"/>
      <c r="B564" s="49"/>
      <c r="C564" s="49"/>
      <c r="D564" s="49"/>
      <c r="E564" s="53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8" customHeight="1">
      <c r="A565" s="49"/>
      <c r="B565" s="49"/>
      <c r="C565" s="49"/>
      <c r="D565" s="49"/>
      <c r="E565" s="53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8" customHeight="1">
      <c r="A566" s="49"/>
      <c r="B566" s="49"/>
      <c r="C566" s="49"/>
      <c r="D566" s="49"/>
      <c r="E566" s="53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8" customHeight="1">
      <c r="A567" s="49"/>
      <c r="B567" s="49"/>
      <c r="C567" s="49"/>
      <c r="D567" s="49"/>
      <c r="E567" s="53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8" customHeight="1">
      <c r="A568" s="49"/>
      <c r="B568" s="49"/>
      <c r="C568" s="49"/>
      <c r="D568" s="49"/>
      <c r="E568" s="53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8" customHeight="1">
      <c r="A569" s="49"/>
      <c r="B569" s="49"/>
      <c r="C569" s="49"/>
      <c r="D569" s="49"/>
      <c r="E569" s="53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8" customHeight="1">
      <c r="A570" s="49"/>
      <c r="B570" s="49"/>
      <c r="C570" s="49"/>
      <c r="D570" s="49"/>
      <c r="E570" s="53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8" customHeight="1">
      <c r="A571" s="49"/>
      <c r="B571" s="49"/>
      <c r="C571" s="49"/>
      <c r="D571" s="49"/>
      <c r="E571" s="53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8" customHeight="1">
      <c r="A572" s="49"/>
      <c r="B572" s="49"/>
      <c r="C572" s="49"/>
      <c r="D572" s="49"/>
      <c r="E572" s="53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8" customHeight="1">
      <c r="A573" s="49"/>
      <c r="B573" s="49"/>
      <c r="C573" s="49"/>
      <c r="D573" s="49"/>
      <c r="E573" s="53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8" customHeight="1">
      <c r="A574" s="49"/>
      <c r="B574" s="49"/>
      <c r="C574" s="49"/>
      <c r="D574" s="49"/>
      <c r="E574" s="53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8" customHeight="1">
      <c r="A575" s="49"/>
      <c r="B575" s="49"/>
      <c r="C575" s="49"/>
      <c r="D575" s="49"/>
      <c r="E575" s="53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8" customHeight="1">
      <c r="A576" s="49"/>
      <c r="B576" s="49"/>
      <c r="C576" s="49"/>
      <c r="D576" s="49"/>
      <c r="E576" s="53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8" customHeight="1">
      <c r="A577" s="49"/>
      <c r="B577" s="49"/>
      <c r="C577" s="49"/>
      <c r="D577" s="49"/>
      <c r="E577" s="53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8" customHeight="1">
      <c r="A578" s="49"/>
      <c r="B578" s="49"/>
      <c r="C578" s="49"/>
      <c r="D578" s="49"/>
      <c r="E578" s="53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8" customHeight="1">
      <c r="A579" s="49"/>
      <c r="B579" s="49"/>
      <c r="C579" s="49"/>
      <c r="D579" s="49"/>
      <c r="E579" s="53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8" customHeight="1">
      <c r="A580" s="49"/>
      <c r="B580" s="49"/>
      <c r="C580" s="49"/>
      <c r="D580" s="49"/>
      <c r="E580" s="53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8" customHeight="1">
      <c r="A581" s="49"/>
      <c r="B581" s="49"/>
      <c r="C581" s="49"/>
      <c r="D581" s="49"/>
      <c r="E581" s="53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8" customHeight="1">
      <c r="A582" s="49"/>
      <c r="B582" s="49"/>
      <c r="C582" s="49"/>
      <c r="D582" s="49"/>
      <c r="E582" s="53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8" customHeight="1">
      <c r="A583" s="49"/>
      <c r="B583" s="49"/>
      <c r="C583" s="49"/>
      <c r="D583" s="49"/>
      <c r="E583" s="53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8" customHeight="1">
      <c r="A584" s="49"/>
      <c r="B584" s="49"/>
      <c r="C584" s="49"/>
      <c r="D584" s="49"/>
      <c r="E584" s="53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8" customHeight="1">
      <c r="A585" s="49"/>
      <c r="B585" s="49"/>
      <c r="C585" s="49"/>
      <c r="D585" s="49"/>
      <c r="E585" s="53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8" customHeight="1">
      <c r="A586" s="49"/>
      <c r="B586" s="49"/>
      <c r="C586" s="49"/>
      <c r="D586" s="49"/>
      <c r="E586" s="53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8" customHeight="1">
      <c r="A587" s="49"/>
      <c r="B587" s="49"/>
      <c r="C587" s="49"/>
      <c r="D587" s="49"/>
      <c r="E587" s="53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8" customHeight="1">
      <c r="A588" s="49"/>
      <c r="B588" s="49"/>
      <c r="C588" s="49"/>
      <c r="D588" s="49"/>
      <c r="E588" s="53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8" customHeight="1">
      <c r="A589" s="49"/>
      <c r="B589" s="49"/>
      <c r="C589" s="49"/>
      <c r="D589" s="49"/>
      <c r="E589" s="53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8" customHeight="1">
      <c r="A590" s="49"/>
      <c r="B590" s="49"/>
      <c r="C590" s="49"/>
      <c r="D590" s="49"/>
      <c r="E590" s="53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8" customHeight="1">
      <c r="A591" s="49"/>
      <c r="B591" s="49"/>
      <c r="C591" s="49"/>
      <c r="D591" s="49"/>
      <c r="E591" s="53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8" customHeight="1">
      <c r="A592" s="49"/>
      <c r="B592" s="49"/>
      <c r="C592" s="49"/>
      <c r="D592" s="49"/>
      <c r="E592" s="53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8" customHeight="1">
      <c r="A593" s="49"/>
      <c r="B593" s="49"/>
      <c r="C593" s="49"/>
      <c r="D593" s="49"/>
      <c r="E593" s="53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8" customHeight="1">
      <c r="A594" s="49"/>
      <c r="B594" s="49"/>
      <c r="C594" s="49"/>
      <c r="D594" s="49"/>
      <c r="E594" s="53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8" customHeight="1">
      <c r="A595" s="49"/>
      <c r="B595" s="49"/>
      <c r="C595" s="49"/>
      <c r="D595" s="49"/>
      <c r="E595" s="53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8" customHeight="1">
      <c r="A596" s="49"/>
      <c r="B596" s="49"/>
      <c r="C596" s="49"/>
      <c r="D596" s="49"/>
      <c r="E596" s="53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8" customHeight="1">
      <c r="A597" s="49"/>
      <c r="B597" s="49"/>
      <c r="C597" s="49"/>
      <c r="D597" s="49"/>
      <c r="E597" s="53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8" customHeight="1">
      <c r="A598" s="49"/>
      <c r="B598" s="49"/>
      <c r="C598" s="49"/>
      <c r="D598" s="49"/>
      <c r="E598" s="53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8" customHeight="1">
      <c r="A599" s="49"/>
      <c r="B599" s="49"/>
      <c r="C599" s="49"/>
      <c r="D599" s="49"/>
      <c r="E599" s="53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8" customHeight="1">
      <c r="A600" s="49"/>
      <c r="B600" s="49"/>
      <c r="C600" s="49"/>
      <c r="D600" s="49"/>
      <c r="E600" s="53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8" customHeight="1">
      <c r="A601" s="49"/>
      <c r="B601" s="49"/>
      <c r="C601" s="49"/>
      <c r="D601" s="49"/>
      <c r="E601" s="53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8" customHeight="1">
      <c r="A602" s="49"/>
      <c r="B602" s="49"/>
      <c r="C602" s="49"/>
      <c r="D602" s="49"/>
      <c r="E602" s="53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8" customHeight="1">
      <c r="A603" s="49"/>
      <c r="B603" s="49"/>
      <c r="C603" s="49"/>
      <c r="D603" s="49"/>
      <c r="E603" s="53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8" customHeight="1">
      <c r="A604" s="49"/>
      <c r="B604" s="49"/>
      <c r="C604" s="49"/>
      <c r="D604" s="49"/>
      <c r="E604" s="53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8" customHeight="1">
      <c r="A605" s="49"/>
      <c r="B605" s="49"/>
      <c r="C605" s="49"/>
      <c r="D605" s="49"/>
      <c r="E605" s="53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8" customHeight="1">
      <c r="A606" s="49"/>
      <c r="B606" s="49"/>
      <c r="C606" s="49"/>
      <c r="D606" s="49"/>
      <c r="E606" s="53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8" customHeight="1">
      <c r="A607" s="49"/>
      <c r="B607" s="49"/>
      <c r="C607" s="49"/>
      <c r="D607" s="49"/>
      <c r="E607" s="53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8" customHeight="1">
      <c r="A608" s="49"/>
      <c r="B608" s="49"/>
      <c r="C608" s="49"/>
      <c r="D608" s="49"/>
      <c r="E608" s="53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8" customHeight="1">
      <c r="A609" s="49"/>
      <c r="B609" s="49"/>
      <c r="C609" s="49"/>
      <c r="D609" s="49"/>
      <c r="E609" s="53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8" customHeight="1">
      <c r="A610" s="49"/>
      <c r="B610" s="49"/>
      <c r="C610" s="49"/>
      <c r="D610" s="49"/>
      <c r="E610" s="53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8" customHeight="1">
      <c r="A611" s="49"/>
      <c r="B611" s="49"/>
      <c r="C611" s="49"/>
      <c r="D611" s="49"/>
      <c r="E611" s="53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8" customHeight="1">
      <c r="A612" s="49"/>
      <c r="B612" s="49"/>
      <c r="C612" s="49"/>
      <c r="D612" s="49"/>
      <c r="E612" s="53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8" customHeight="1">
      <c r="A613" s="49"/>
      <c r="B613" s="49"/>
      <c r="C613" s="49"/>
      <c r="D613" s="49"/>
      <c r="E613" s="53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8" customHeight="1">
      <c r="A614" s="49"/>
      <c r="B614" s="49"/>
      <c r="C614" s="49"/>
      <c r="D614" s="49"/>
      <c r="E614" s="53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8" customHeight="1">
      <c r="A615" s="49"/>
      <c r="B615" s="49"/>
      <c r="C615" s="49"/>
      <c r="D615" s="49"/>
      <c r="E615" s="53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8" customHeight="1">
      <c r="A616" s="49"/>
      <c r="B616" s="49"/>
      <c r="C616" s="49"/>
      <c r="D616" s="49"/>
      <c r="E616" s="53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8" customHeight="1">
      <c r="A617" s="49"/>
      <c r="B617" s="49"/>
      <c r="C617" s="49"/>
      <c r="D617" s="49"/>
      <c r="E617" s="53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8" customHeight="1">
      <c r="A618" s="49"/>
      <c r="B618" s="49"/>
      <c r="C618" s="49"/>
      <c r="D618" s="49"/>
      <c r="E618" s="53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8" customHeight="1">
      <c r="A619" s="49"/>
      <c r="B619" s="49"/>
      <c r="C619" s="49"/>
      <c r="D619" s="49"/>
      <c r="E619" s="53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8" customHeight="1">
      <c r="A620" s="49"/>
      <c r="B620" s="49"/>
      <c r="C620" s="49"/>
      <c r="D620" s="49"/>
      <c r="E620" s="53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8" customHeight="1">
      <c r="A621" s="49"/>
      <c r="B621" s="49"/>
      <c r="C621" s="49"/>
      <c r="D621" s="49"/>
      <c r="E621" s="53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8" customHeight="1">
      <c r="A622" s="49"/>
      <c r="B622" s="49"/>
      <c r="C622" s="49"/>
      <c r="D622" s="49"/>
      <c r="E622" s="53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8" customHeight="1">
      <c r="A623" s="49"/>
      <c r="B623" s="49"/>
      <c r="C623" s="49"/>
      <c r="D623" s="49"/>
      <c r="E623" s="53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8" customHeight="1">
      <c r="A624" s="49"/>
      <c r="B624" s="49"/>
      <c r="C624" s="49"/>
      <c r="D624" s="49"/>
      <c r="E624" s="53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8" customHeight="1">
      <c r="A625" s="49"/>
      <c r="B625" s="49"/>
      <c r="C625" s="49"/>
      <c r="D625" s="49"/>
      <c r="E625" s="53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8" customHeight="1">
      <c r="A626" s="49"/>
      <c r="B626" s="49"/>
      <c r="C626" s="49"/>
      <c r="D626" s="49"/>
      <c r="E626" s="53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8" customHeight="1">
      <c r="A627" s="49"/>
      <c r="B627" s="49"/>
      <c r="C627" s="49"/>
      <c r="D627" s="49"/>
      <c r="E627" s="53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8" customHeight="1">
      <c r="A628" s="49"/>
      <c r="B628" s="49"/>
      <c r="C628" s="49"/>
      <c r="D628" s="49"/>
      <c r="E628" s="53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8" customHeight="1">
      <c r="A629" s="49"/>
      <c r="B629" s="49"/>
      <c r="C629" s="49"/>
      <c r="D629" s="49"/>
      <c r="E629" s="53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8" customHeight="1">
      <c r="A630" s="49"/>
      <c r="B630" s="49"/>
      <c r="C630" s="49"/>
      <c r="D630" s="49"/>
      <c r="E630" s="53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8" customHeight="1">
      <c r="A631" s="49"/>
      <c r="B631" s="49"/>
      <c r="C631" s="49"/>
      <c r="D631" s="49"/>
      <c r="E631" s="53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8" customHeight="1">
      <c r="A632" s="49"/>
      <c r="B632" s="49"/>
      <c r="C632" s="49"/>
      <c r="D632" s="49"/>
      <c r="E632" s="53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8" customHeight="1">
      <c r="A633" s="49"/>
      <c r="B633" s="49"/>
      <c r="C633" s="49"/>
      <c r="D633" s="49"/>
      <c r="E633" s="53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8" customHeight="1">
      <c r="A634" s="49"/>
      <c r="B634" s="49"/>
      <c r="C634" s="49"/>
      <c r="D634" s="49"/>
      <c r="E634" s="53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8" customHeight="1">
      <c r="A635" s="49"/>
      <c r="B635" s="49"/>
      <c r="C635" s="49"/>
      <c r="D635" s="49"/>
      <c r="E635" s="53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8" customHeight="1">
      <c r="A636" s="49"/>
      <c r="B636" s="49"/>
      <c r="C636" s="49"/>
      <c r="D636" s="49"/>
      <c r="E636" s="53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8" customHeight="1">
      <c r="A637" s="49"/>
      <c r="B637" s="49"/>
      <c r="C637" s="49"/>
      <c r="D637" s="49"/>
      <c r="E637" s="53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8" customHeight="1">
      <c r="A638" s="49"/>
      <c r="B638" s="49"/>
      <c r="C638" s="49"/>
      <c r="D638" s="49"/>
      <c r="E638" s="53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8" customHeight="1">
      <c r="A639" s="49"/>
      <c r="B639" s="49"/>
      <c r="C639" s="49"/>
      <c r="D639" s="49"/>
      <c r="E639" s="53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8" customHeight="1">
      <c r="A640" s="49"/>
      <c r="B640" s="49"/>
      <c r="C640" s="49"/>
      <c r="D640" s="49"/>
      <c r="E640" s="53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8" customHeight="1">
      <c r="A641" s="49"/>
      <c r="B641" s="49"/>
      <c r="C641" s="49"/>
      <c r="D641" s="49"/>
      <c r="E641" s="53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8" customHeight="1">
      <c r="A642" s="49"/>
      <c r="B642" s="49"/>
      <c r="C642" s="49"/>
      <c r="D642" s="49"/>
      <c r="E642" s="53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8" customHeight="1">
      <c r="A643" s="49"/>
      <c r="B643" s="49"/>
      <c r="C643" s="49"/>
      <c r="D643" s="49"/>
      <c r="E643" s="53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8" customHeight="1">
      <c r="A644" s="49"/>
      <c r="B644" s="49"/>
      <c r="C644" s="49"/>
      <c r="D644" s="49"/>
      <c r="E644" s="53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8" customHeight="1">
      <c r="A645" s="49"/>
      <c r="B645" s="49"/>
      <c r="C645" s="49"/>
      <c r="D645" s="49"/>
      <c r="E645" s="53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8" customHeight="1">
      <c r="A646" s="49"/>
      <c r="B646" s="49"/>
      <c r="C646" s="49"/>
      <c r="D646" s="49"/>
      <c r="E646" s="53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8" customHeight="1">
      <c r="A647" s="49"/>
      <c r="B647" s="49"/>
      <c r="C647" s="49"/>
      <c r="D647" s="49"/>
      <c r="E647" s="53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8" customHeight="1">
      <c r="A648" s="49"/>
      <c r="B648" s="49"/>
      <c r="C648" s="49"/>
      <c r="D648" s="49"/>
      <c r="E648" s="53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8" customHeight="1">
      <c r="A649" s="49"/>
      <c r="B649" s="49"/>
      <c r="C649" s="49"/>
      <c r="D649" s="49"/>
      <c r="E649" s="53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8" customHeight="1">
      <c r="A650" s="49"/>
      <c r="B650" s="49"/>
      <c r="C650" s="49"/>
      <c r="D650" s="49"/>
      <c r="E650" s="53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8" customHeight="1">
      <c r="A651" s="49"/>
      <c r="B651" s="49"/>
      <c r="C651" s="49"/>
      <c r="D651" s="49"/>
      <c r="E651" s="53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8" customHeight="1">
      <c r="A652" s="49"/>
      <c r="B652" s="49"/>
      <c r="C652" s="49"/>
      <c r="D652" s="49"/>
      <c r="E652" s="53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8" customHeight="1">
      <c r="A653" s="49"/>
      <c r="B653" s="49"/>
      <c r="C653" s="49"/>
      <c r="D653" s="49"/>
      <c r="E653" s="53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8" customHeight="1">
      <c r="A654" s="49"/>
      <c r="B654" s="49"/>
      <c r="C654" s="49"/>
      <c r="D654" s="49"/>
      <c r="E654" s="53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8" customHeight="1">
      <c r="A655" s="49"/>
      <c r="B655" s="49"/>
      <c r="C655" s="49"/>
      <c r="D655" s="49"/>
      <c r="E655" s="53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8" customHeight="1">
      <c r="A656" s="49"/>
      <c r="B656" s="49"/>
      <c r="C656" s="49"/>
      <c r="D656" s="49"/>
      <c r="E656" s="53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8" customHeight="1">
      <c r="A657" s="49"/>
      <c r="B657" s="49"/>
      <c r="C657" s="49"/>
      <c r="D657" s="49"/>
      <c r="E657" s="53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8" customHeight="1">
      <c r="A658" s="49"/>
      <c r="B658" s="49"/>
      <c r="C658" s="49"/>
      <c r="D658" s="49"/>
      <c r="E658" s="53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8" customHeight="1">
      <c r="A659" s="49"/>
      <c r="B659" s="49"/>
      <c r="C659" s="49"/>
      <c r="D659" s="49"/>
      <c r="E659" s="53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8" customHeight="1">
      <c r="A660" s="49"/>
      <c r="B660" s="49"/>
      <c r="C660" s="49"/>
      <c r="D660" s="49"/>
      <c r="E660" s="53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8" customHeight="1">
      <c r="A661" s="49"/>
      <c r="B661" s="49"/>
      <c r="C661" s="49"/>
      <c r="D661" s="49"/>
      <c r="E661" s="53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8" customHeight="1">
      <c r="A662" s="49"/>
      <c r="B662" s="49"/>
      <c r="C662" s="49"/>
      <c r="D662" s="49"/>
      <c r="E662" s="53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8" customHeight="1">
      <c r="A663" s="49"/>
      <c r="B663" s="49"/>
      <c r="C663" s="49"/>
      <c r="D663" s="49"/>
      <c r="E663" s="53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8" customHeight="1">
      <c r="A664" s="49"/>
      <c r="B664" s="49"/>
      <c r="C664" s="49"/>
      <c r="D664" s="49"/>
      <c r="E664" s="53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8" customHeight="1">
      <c r="A665" s="49"/>
      <c r="B665" s="49"/>
      <c r="C665" s="49"/>
      <c r="D665" s="49"/>
      <c r="E665" s="53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8" customHeight="1">
      <c r="A666" s="49"/>
      <c r="B666" s="49"/>
      <c r="C666" s="49"/>
      <c r="D666" s="49"/>
      <c r="E666" s="53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8" customHeight="1">
      <c r="A667" s="49"/>
      <c r="B667" s="49"/>
      <c r="C667" s="49"/>
      <c r="D667" s="49"/>
      <c r="E667" s="53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8" customHeight="1">
      <c r="A668" s="49"/>
      <c r="B668" s="49"/>
      <c r="C668" s="49"/>
      <c r="D668" s="49"/>
      <c r="E668" s="53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8" customHeight="1">
      <c r="A669" s="49"/>
      <c r="B669" s="49"/>
      <c r="C669" s="49"/>
      <c r="D669" s="49"/>
      <c r="E669" s="53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8" customHeight="1">
      <c r="A670" s="49"/>
      <c r="B670" s="49"/>
      <c r="C670" s="49"/>
      <c r="D670" s="49"/>
      <c r="E670" s="53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8" customHeight="1">
      <c r="A671" s="49"/>
      <c r="B671" s="49"/>
      <c r="C671" s="49"/>
      <c r="D671" s="49"/>
      <c r="E671" s="53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8" customHeight="1">
      <c r="A672" s="49"/>
      <c r="B672" s="49"/>
      <c r="C672" s="49"/>
      <c r="D672" s="49"/>
      <c r="E672" s="53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8" customHeight="1">
      <c r="A673" s="49"/>
      <c r="B673" s="49"/>
      <c r="C673" s="49"/>
      <c r="D673" s="49"/>
      <c r="E673" s="53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8" customHeight="1">
      <c r="A674" s="49"/>
      <c r="B674" s="49"/>
      <c r="C674" s="49"/>
      <c r="D674" s="49"/>
      <c r="E674" s="53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8" customHeight="1">
      <c r="A675" s="49"/>
      <c r="B675" s="49"/>
      <c r="C675" s="49"/>
      <c r="D675" s="49"/>
      <c r="E675" s="53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8" customHeight="1">
      <c r="A676" s="49"/>
      <c r="B676" s="49"/>
      <c r="C676" s="49"/>
      <c r="D676" s="49"/>
      <c r="E676" s="53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8" customHeight="1">
      <c r="A677" s="49"/>
      <c r="B677" s="49"/>
      <c r="C677" s="49"/>
      <c r="D677" s="49"/>
      <c r="E677" s="53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8" customHeight="1">
      <c r="A678" s="49"/>
      <c r="B678" s="49"/>
      <c r="C678" s="49"/>
      <c r="D678" s="49"/>
      <c r="E678" s="53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8" customHeight="1">
      <c r="A679" s="49"/>
      <c r="B679" s="49"/>
      <c r="C679" s="49"/>
      <c r="D679" s="49"/>
      <c r="E679" s="53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8" customHeight="1">
      <c r="A680" s="49"/>
      <c r="B680" s="49"/>
      <c r="C680" s="49"/>
      <c r="D680" s="49"/>
      <c r="E680" s="53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8" customHeight="1">
      <c r="A681" s="49"/>
      <c r="B681" s="49"/>
      <c r="C681" s="49"/>
      <c r="D681" s="49"/>
      <c r="E681" s="53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8" customHeight="1">
      <c r="A682" s="49"/>
      <c r="B682" s="49"/>
      <c r="C682" s="49"/>
      <c r="D682" s="49"/>
      <c r="E682" s="53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8" customHeight="1">
      <c r="A683" s="49"/>
      <c r="B683" s="49"/>
      <c r="C683" s="49"/>
      <c r="D683" s="49"/>
      <c r="E683" s="53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8" customHeight="1">
      <c r="A684" s="49"/>
      <c r="B684" s="49"/>
      <c r="C684" s="49"/>
      <c r="D684" s="49"/>
      <c r="E684" s="53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8" customHeight="1">
      <c r="A685" s="49"/>
      <c r="B685" s="49"/>
      <c r="C685" s="49"/>
      <c r="D685" s="49"/>
      <c r="E685" s="53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8" customHeight="1">
      <c r="A686" s="49"/>
      <c r="B686" s="49"/>
      <c r="C686" s="49"/>
      <c r="D686" s="49"/>
      <c r="E686" s="53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8" customHeight="1">
      <c r="A687" s="49"/>
      <c r="B687" s="49"/>
      <c r="C687" s="49"/>
      <c r="D687" s="49"/>
      <c r="E687" s="53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8" customHeight="1">
      <c r="A688" s="49"/>
      <c r="B688" s="49"/>
      <c r="C688" s="49"/>
      <c r="D688" s="49"/>
      <c r="E688" s="53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8" customHeight="1">
      <c r="A689" s="49"/>
      <c r="B689" s="49"/>
      <c r="C689" s="49"/>
      <c r="D689" s="49"/>
      <c r="E689" s="53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8" customHeight="1">
      <c r="A690" s="49"/>
      <c r="B690" s="49"/>
      <c r="C690" s="49"/>
      <c r="D690" s="49"/>
      <c r="E690" s="53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8" customHeight="1">
      <c r="A691" s="49"/>
      <c r="B691" s="49"/>
      <c r="C691" s="49"/>
      <c r="D691" s="49"/>
      <c r="E691" s="53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8" customHeight="1">
      <c r="A692" s="49"/>
      <c r="B692" s="49"/>
      <c r="C692" s="49"/>
      <c r="D692" s="49"/>
      <c r="E692" s="53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8" customHeight="1">
      <c r="A693" s="49"/>
      <c r="B693" s="49"/>
      <c r="C693" s="49"/>
      <c r="D693" s="49"/>
      <c r="E693" s="53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8" customHeight="1">
      <c r="A694" s="49"/>
      <c r="B694" s="49"/>
      <c r="C694" s="49"/>
      <c r="D694" s="49"/>
      <c r="E694" s="53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8" customHeight="1">
      <c r="A695" s="49"/>
      <c r="B695" s="49"/>
      <c r="C695" s="49"/>
      <c r="D695" s="49"/>
      <c r="E695" s="53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8" customHeight="1">
      <c r="A696" s="49"/>
      <c r="B696" s="49"/>
      <c r="C696" s="49"/>
      <c r="D696" s="49"/>
      <c r="E696" s="53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8" customHeight="1">
      <c r="A697" s="49"/>
      <c r="B697" s="49"/>
      <c r="C697" s="49"/>
      <c r="D697" s="49"/>
      <c r="E697" s="53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8" customHeight="1">
      <c r="A698" s="49"/>
      <c r="B698" s="49"/>
      <c r="C698" s="49"/>
      <c r="D698" s="49"/>
      <c r="E698" s="53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8" customHeight="1">
      <c r="A699" s="49"/>
      <c r="B699" s="49"/>
      <c r="C699" s="49"/>
      <c r="D699" s="49"/>
      <c r="E699" s="53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8" customHeight="1">
      <c r="A700" s="49"/>
      <c r="B700" s="49"/>
      <c r="C700" s="49"/>
      <c r="D700" s="49"/>
      <c r="E700" s="53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8" customHeight="1">
      <c r="A701" s="49"/>
      <c r="B701" s="49"/>
      <c r="C701" s="49"/>
      <c r="D701" s="49"/>
      <c r="E701" s="53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8" customHeight="1">
      <c r="A702" s="49"/>
      <c r="B702" s="49"/>
      <c r="C702" s="49"/>
      <c r="D702" s="49"/>
      <c r="E702" s="53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8" customHeight="1">
      <c r="A703" s="49"/>
      <c r="B703" s="49"/>
      <c r="C703" s="49"/>
      <c r="D703" s="49"/>
      <c r="E703" s="53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8" customHeight="1">
      <c r="A704" s="49"/>
      <c r="B704" s="49"/>
      <c r="C704" s="49"/>
      <c r="D704" s="49"/>
      <c r="E704" s="53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8" customHeight="1">
      <c r="A705" s="49"/>
      <c r="B705" s="49"/>
      <c r="C705" s="49"/>
      <c r="D705" s="49"/>
      <c r="E705" s="53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8" customHeight="1">
      <c r="A706" s="49"/>
      <c r="B706" s="49"/>
      <c r="C706" s="49"/>
      <c r="D706" s="49"/>
      <c r="E706" s="53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8" customHeight="1">
      <c r="A707" s="49"/>
      <c r="B707" s="49"/>
      <c r="C707" s="49"/>
      <c r="D707" s="49"/>
      <c r="E707" s="53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8" customHeight="1">
      <c r="A708" s="49"/>
      <c r="B708" s="49"/>
      <c r="C708" s="49"/>
      <c r="D708" s="49"/>
      <c r="E708" s="53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8" customHeight="1">
      <c r="A709" s="49"/>
      <c r="B709" s="49"/>
      <c r="C709" s="49"/>
      <c r="D709" s="49"/>
      <c r="E709" s="53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8" customHeight="1">
      <c r="A710" s="49"/>
      <c r="B710" s="49"/>
      <c r="C710" s="49"/>
      <c r="D710" s="49"/>
      <c r="E710" s="53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8" customHeight="1">
      <c r="A711" s="49"/>
      <c r="B711" s="49"/>
      <c r="C711" s="49"/>
      <c r="D711" s="49"/>
      <c r="E711" s="53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8" customHeight="1">
      <c r="A712" s="49"/>
      <c r="B712" s="49"/>
      <c r="C712" s="49"/>
      <c r="D712" s="49"/>
      <c r="E712" s="53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8" customHeight="1">
      <c r="A713" s="49"/>
      <c r="B713" s="49"/>
      <c r="C713" s="49"/>
      <c r="D713" s="49"/>
      <c r="E713" s="53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8" customHeight="1">
      <c r="A714" s="49"/>
      <c r="B714" s="49"/>
      <c r="C714" s="49"/>
      <c r="D714" s="49"/>
      <c r="E714" s="53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8" customHeight="1">
      <c r="A715" s="49"/>
      <c r="B715" s="49"/>
      <c r="C715" s="49"/>
      <c r="D715" s="49"/>
      <c r="E715" s="53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8" customHeight="1">
      <c r="A716" s="49"/>
      <c r="B716" s="49"/>
      <c r="C716" s="49"/>
      <c r="D716" s="49"/>
      <c r="E716" s="53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8" customHeight="1">
      <c r="A717" s="49"/>
      <c r="B717" s="49"/>
      <c r="C717" s="49"/>
      <c r="D717" s="49"/>
      <c r="E717" s="53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8" customHeight="1">
      <c r="A718" s="49"/>
      <c r="B718" s="49"/>
      <c r="C718" s="49"/>
      <c r="D718" s="49"/>
      <c r="E718" s="53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8" customHeight="1">
      <c r="A719" s="49"/>
      <c r="B719" s="49"/>
      <c r="C719" s="49"/>
      <c r="D719" s="49"/>
      <c r="E719" s="53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8" customHeight="1">
      <c r="A720" s="49"/>
      <c r="B720" s="49"/>
      <c r="C720" s="49"/>
      <c r="D720" s="49"/>
      <c r="E720" s="53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8" customHeight="1">
      <c r="A721" s="49"/>
      <c r="B721" s="49"/>
      <c r="C721" s="49"/>
      <c r="D721" s="49"/>
      <c r="E721" s="53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8" customHeight="1">
      <c r="A722" s="49"/>
      <c r="B722" s="49"/>
      <c r="C722" s="49"/>
      <c r="D722" s="49"/>
      <c r="E722" s="53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8" customHeight="1">
      <c r="A723" s="49"/>
      <c r="B723" s="49"/>
      <c r="C723" s="49"/>
      <c r="D723" s="49"/>
      <c r="E723" s="53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8" customHeight="1">
      <c r="A724" s="49"/>
      <c r="B724" s="49"/>
      <c r="C724" s="49"/>
      <c r="D724" s="49"/>
      <c r="E724" s="53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8" customHeight="1">
      <c r="A725" s="49"/>
      <c r="B725" s="49"/>
      <c r="C725" s="49"/>
      <c r="D725" s="49"/>
      <c r="E725" s="53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8" customHeight="1">
      <c r="A726" s="49"/>
      <c r="B726" s="49"/>
      <c r="C726" s="49"/>
      <c r="D726" s="49"/>
      <c r="E726" s="53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8" customHeight="1">
      <c r="A727" s="49"/>
      <c r="B727" s="49"/>
      <c r="C727" s="49"/>
      <c r="D727" s="49"/>
      <c r="E727" s="53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8" customHeight="1">
      <c r="A728" s="49"/>
      <c r="B728" s="49"/>
      <c r="C728" s="49"/>
      <c r="D728" s="49"/>
      <c r="E728" s="53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8" customHeight="1">
      <c r="A729" s="49"/>
      <c r="B729" s="49"/>
      <c r="C729" s="49"/>
      <c r="D729" s="49"/>
      <c r="E729" s="53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8" customHeight="1">
      <c r="A730" s="49"/>
      <c r="B730" s="49"/>
      <c r="C730" s="49"/>
      <c r="D730" s="49"/>
      <c r="E730" s="53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8" customHeight="1">
      <c r="A731" s="49"/>
      <c r="B731" s="49"/>
      <c r="C731" s="49"/>
      <c r="D731" s="49"/>
      <c r="E731" s="53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8" customHeight="1">
      <c r="A732" s="49"/>
      <c r="B732" s="49"/>
      <c r="C732" s="49"/>
      <c r="D732" s="49"/>
      <c r="E732" s="53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8" customHeight="1">
      <c r="A733" s="49"/>
      <c r="B733" s="49"/>
      <c r="C733" s="49"/>
      <c r="D733" s="49"/>
      <c r="E733" s="53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8" customHeight="1">
      <c r="A734" s="49"/>
      <c r="B734" s="49"/>
      <c r="C734" s="49"/>
      <c r="D734" s="49"/>
      <c r="E734" s="53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8" customHeight="1">
      <c r="A735" s="49"/>
      <c r="B735" s="49"/>
      <c r="C735" s="49"/>
      <c r="D735" s="49"/>
      <c r="E735" s="53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8" customHeight="1">
      <c r="A736" s="49"/>
      <c r="B736" s="49"/>
      <c r="C736" s="49"/>
      <c r="D736" s="49"/>
      <c r="E736" s="53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8" customHeight="1">
      <c r="A737" s="49"/>
      <c r="B737" s="49"/>
      <c r="C737" s="49"/>
      <c r="D737" s="49"/>
      <c r="E737" s="53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8" customHeight="1">
      <c r="A738" s="49"/>
      <c r="B738" s="49"/>
      <c r="C738" s="49"/>
      <c r="D738" s="49"/>
      <c r="E738" s="53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8" customHeight="1">
      <c r="A739" s="49"/>
      <c r="B739" s="49"/>
      <c r="C739" s="49"/>
      <c r="D739" s="49"/>
      <c r="E739" s="53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8" customHeight="1">
      <c r="A740" s="49"/>
      <c r="B740" s="49"/>
      <c r="C740" s="49"/>
      <c r="D740" s="49"/>
      <c r="E740" s="53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8" customHeight="1">
      <c r="A741" s="49"/>
      <c r="B741" s="49"/>
      <c r="C741" s="49"/>
      <c r="D741" s="49"/>
      <c r="E741" s="53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8" customHeight="1">
      <c r="A742" s="49"/>
      <c r="B742" s="49"/>
      <c r="C742" s="49"/>
      <c r="D742" s="49"/>
      <c r="E742" s="53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8" customHeight="1">
      <c r="A743" s="49"/>
      <c r="B743" s="49"/>
      <c r="C743" s="49"/>
      <c r="D743" s="49"/>
      <c r="E743" s="53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8" customHeight="1">
      <c r="A744" s="49"/>
      <c r="B744" s="49"/>
      <c r="C744" s="49"/>
      <c r="D744" s="49"/>
      <c r="E744" s="53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8" customHeight="1">
      <c r="A745" s="49"/>
      <c r="B745" s="49"/>
      <c r="C745" s="49"/>
      <c r="D745" s="49"/>
      <c r="E745" s="53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8" customHeight="1">
      <c r="A746" s="49"/>
      <c r="B746" s="49"/>
      <c r="C746" s="49"/>
      <c r="D746" s="49"/>
      <c r="E746" s="53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8" customHeight="1">
      <c r="A747" s="49"/>
      <c r="B747" s="49"/>
      <c r="C747" s="49"/>
      <c r="D747" s="49"/>
      <c r="E747" s="53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8" customHeight="1">
      <c r="A748" s="49"/>
      <c r="B748" s="49"/>
      <c r="C748" s="49"/>
      <c r="D748" s="49"/>
      <c r="E748" s="53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8" customHeight="1">
      <c r="A749" s="49"/>
      <c r="B749" s="49"/>
      <c r="C749" s="49"/>
      <c r="D749" s="49"/>
      <c r="E749" s="53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8" customHeight="1">
      <c r="A750" s="49"/>
      <c r="B750" s="49"/>
      <c r="C750" s="49"/>
      <c r="D750" s="49"/>
      <c r="E750" s="53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8" customHeight="1">
      <c r="A751" s="49"/>
      <c r="B751" s="49"/>
      <c r="C751" s="49"/>
      <c r="D751" s="49"/>
      <c r="E751" s="53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8" customHeight="1">
      <c r="A752" s="49"/>
      <c r="B752" s="49"/>
      <c r="C752" s="49"/>
      <c r="D752" s="49"/>
      <c r="E752" s="53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8" customHeight="1">
      <c r="A753" s="49"/>
      <c r="B753" s="49"/>
      <c r="C753" s="49"/>
      <c r="D753" s="49"/>
      <c r="E753" s="53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8" customHeight="1">
      <c r="A754" s="49"/>
      <c r="B754" s="49"/>
      <c r="C754" s="49"/>
      <c r="D754" s="49"/>
      <c r="E754" s="53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8" customHeight="1">
      <c r="A755" s="49"/>
      <c r="B755" s="49"/>
      <c r="C755" s="49"/>
      <c r="D755" s="49"/>
      <c r="E755" s="53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8" customHeight="1">
      <c r="A756" s="49"/>
      <c r="B756" s="49"/>
      <c r="C756" s="49"/>
      <c r="D756" s="49"/>
      <c r="E756" s="53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8" customHeight="1">
      <c r="A757" s="49"/>
      <c r="B757" s="49"/>
      <c r="C757" s="49"/>
      <c r="D757" s="49"/>
      <c r="E757" s="53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8" customHeight="1">
      <c r="A758" s="49"/>
      <c r="B758" s="49"/>
      <c r="C758" s="49"/>
      <c r="D758" s="49"/>
      <c r="E758" s="53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8" customHeight="1">
      <c r="A759" s="49"/>
      <c r="B759" s="49"/>
      <c r="C759" s="49"/>
      <c r="D759" s="49"/>
      <c r="E759" s="53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8" customHeight="1">
      <c r="A760" s="49"/>
      <c r="B760" s="49"/>
      <c r="C760" s="49"/>
      <c r="D760" s="49"/>
      <c r="E760" s="53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8" customHeight="1">
      <c r="A761" s="49"/>
      <c r="B761" s="49"/>
      <c r="C761" s="49"/>
      <c r="D761" s="49"/>
      <c r="E761" s="53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8" customHeight="1">
      <c r="A762" s="49"/>
      <c r="B762" s="49"/>
      <c r="C762" s="49"/>
      <c r="D762" s="49"/>
      <c r="E762" s="53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8" customHeight="1">
      <c r="A763" s="49"/>
      <c r="B763" s="49"/>
      <c r="C763" s="49"/>
      <c r="D763" s="49"/>
      <c r="E763" s="53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8" customHeight="1">
      <c r="A764" s="49"/>
      <c r="B764" s="49"/>
      <c r="C764" s="49"/>
      <c r="D764" s="49"/>
      <c r="E764" s="53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8" customHeight="1">
      <c r="A765" s="49"/>
      <c r="B765" s="49"/>
      <c r="C765" s="49"/>
      <c r="D765" s="49"/>
      <c r="E765" s="53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8" customHeight="1">
      <c r="A766" s="49"/>
      <c r="B766" s="49"/>
      <c r="C766" s="49"/>
      <c r="D766" s="49"/>
      <c r="E766" s="53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8" customHeight="1">
      <c r="A767" s="49"/>
      <c r="B767" s="49"/>
      <c r="C767" s="49"/>
      <c r="D767" s="49"/>
      <c r="E767" s="53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8" customHeight="1">
      <c r="A768" s="49"/>
      <c r="B768" s="49"/>
      <c r="C768" s="49"/>
      <c r="D768" s="49"/>
      <c r="E768" s="53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8" customHeight="1">
      <c r="A769" s="49"/>
      <c r="B769" s="49"/>
      <c r="C769" s="49"/>
      <c r="D769" s="49"/>
      <c r="E769" s="53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8" customHeight="1">
      <c r="A770" s="49"/>
      <c r="B770" s="49"/>
      <c r="C770" s="49"/>
      <c r="D770" s="49"/>
      <c r="E770" s="53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8" customHeight="1">
      <c r="A771" s="49"/>
      <c r="B771" s="49"/>
      <c r="C771" s="49"/>
      <c r="D771" s="49"/>
      <c r="E771" s="53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8" customHeight="1">
      <c r="A772" s="49"/>
      <c r="B772" s="49"/>
      <c r="C772" s="49"/>
      <c r="D772" s="49"/>
      <c r="E772" s="53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8" customHeight="1">
      <c r="A773" s="49"/>
      <c r="B773" s="49"/>
      <c r="C773" s="49"/>
      <c r="D773" s="49"/>
      <c r="E773" s="53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8" customHeight="1">
      <c r="A774" s="49"/>
      <c r="B774" s="49"/>
      <c r="C774" s="49"/>
      <c r="D774" s="49"/>
      <c r="E774" s="53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8" customHeight="1">
      <c r="A775" s="49"/>
      <c r="B775" s="49"/>
      <c r="C775" s="49"/>
      <c r="D775" s="49"/>
      <c r="E775" s="53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8" customHeight="1">
      <c r="A776" s="49"/>
      <c r="B776" s="49"/>
      <c r="C776" s="49"/>
      <c r="D776" s="49"/>
      <c r="E776" s="53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8" customHeight="1">
      <c r="A777" s="49"/>
      <c r="B777" s="49"/>
      <c r="C777" s="49"/>
      <c r="D777" s="49"/>
      <c r="E777" s="53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8" customHeight="1">
      <c r="A778" s="49"/>
      <c r="B778" s="49"/>
      <c r="C778" s="49"/>
      <c r="D778" s="49"/>
      <c r="E778" s="53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8" customHeight="1">
      <c r="A779" s="49"/>
      <c r="B779" s="49"/>
      <c r="C779" s="49"/>
      <c r="D779" s="49"/>
      <c r="E779" s="53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8" customHeight="1">
      <c r="A780" s="49"/>
      <c r="B780" s="49"/>
      <c r="C780" s="49"/>
      <c r="D780" s="49"/>
      <c r="E780" s="53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8" customHeight="1">
      <c r="A781" s="49"/>
      <c r="B781" s="49"/>
      <c r="C781" s="49"/>
      <c r="D781" s="49"/>
      <c r="E781" s="53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8" customHeight="1">
      <c r="A782" s="49"/>
      <c r="B782" s="49"/>
      <c r="C782" s="49"/>
      <c r="D782" s="49"/>
      <c r="E782" s="53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8" customHeight="1">
      <c r="A783" s="49"/>
      <c r="B783" s="49"/>
      <c r="C783" s="49"/>
      <c r="D783" s="49"/>
      <c r="E783" s="53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8" customHeight="1">
      <c r="A784" s="49"/>
      <c r="B784" s="49"/>
      <c r="C784" s="49"/>
      <c r="D784" s="49"/>
      <c r="E784" s="53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8" customHeight="1">
      <c r="A785" s="49"/>
      <c r="B785" s="49"/>
      <c r="C785" s="49"/>
      <c r="D785" s="49"/>
      <c r="E785" s="53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8" customHeight="1">
      <c r="A786" s="49"/>
      <c r="B786" s="49"/>
      <c r="C786" s="49"/>
      <c r="D786" s="49"/>
      <c r="E786" s="53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8" customHeight="1">
      <c r="A787" s="49"/>
      <c r="B787" s="49"/>
      <c r="C787" s="49"/>
      <c r="D787" s="49"/>
      <c r="E787" s="53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8" customHeight="1">
      <c r="A788" s="49"/>
      <c r="B788" s="49"/>
      <c r="C788" s="49"/>
      <c r="D788" s="49"/>
      <c r="E788" s="53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8" customHeight="1">
      <c r="A789" s="49"/>
      <c r="B789" s="49"/>
      <c r="C789" s="49"/>
      <c r="D789" s="49"/>
      <c r="E789" s="53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8" customHeight="1">
      <c r="A790" s="49"/>
      <c r="B790" s="49"/>
      <c r="C790" s="49"/>
      <c r="D790" s="49"/>
      <c r="E790" s="53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8" customHeight="1">
      <c r="A791" s="49"/>
      <c r="B791" s="49"/>
      <c r="C791" s="49"/>
      <c r="D791" s="49"/>
      <c r="E791" s="53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8" customHeight="1">
      <c r="A792" s="49"/>
      <c r="B792" s="49"/>
      <c r="C792" s="49"/>
      <c r="D792" s="49"/>
      <c r="E792" s="53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8" customHeight="1">
      <c r="A793" s="49"/>
      <c r="B793" s="49"/>
      <c r="C793" s="49"/>
      <c r="D793" s="49"/>
      <c r="E793" s="53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8" customHeight="1">
      <c r="A794" s="49"/>
      <c r="B794" s="49"/>
      <c r="C794" s="49"/>
      <c r="D794" s="49"/>
      <c r="E794" s="53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8" customHeight="1">
      <c r="A795" s="49"/>
      <c r="B795" s="49"/>
      <c r="C795" s="49"/>
      <c r="D795" s="49"/>
      <c r="E795" s="53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8" customHeight="1">
      <c r="A796" s="49"/>
      <c r="B796" s="49"/>
      <c r="C796" s="49"/>
      <c r="D796" s="49"/>
      <c r="E796" s="53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8" customHeight="1">
      <c r="A797" s="49"/>
      <c r="B797" s="49"/>
      <c r="C797" s="49"/>
      <c r="D797" s="49"/>
      <c r="E797" s="53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8" customHeight="1">
      <c r="A798" s="49"/>
      <c r="B798" s="49"/>
      <c r="C798" s="49"/>
      <c r="D798" s="49"/>
      <c r="E798" s="53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8" customHeight="1">
      <c r="A799" s="49"/>
      <c r="B799" s="49"/>
      <c r="C799" s="49"/>
      <c r="D799" s="49"/>
      <c r="E799" s="53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8" customHeight="1">
      <c r="A800" s="49"/>
      <c r="B800" s="49"/>
      <c r="C800" s="49"/>
      <c r="D800" s="49"/>
      <c r="E800" s="53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8" customHeight="1">
      <c r="A801" s="49"/>
      <c r="B801" s="49"/>
      <c r="C801" s="49"/>
      <c r="D801" s="49"/>
      <c r="E801" s="53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8" customHeight="1">
      <c r="A802" s="49"/>
      <c r="B802" s="49"/>
      <c r="C802" s="49"/>
      <c r="D802" s="49"/>
      <c r="E802" s="53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8" customHeight="1">
      <c r="A803" s="49"/>
      <c r="B803" s="49"/>
      <c r="C803" s="49"/>
      <c r="D803" s="49"/>
      <c r="E803" s="53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8" customHeight="1">
      <c r="A804" s="49"/>
      <c r="B804" s="49"/>
      <c r="C804" s="49"/>
      <c r="D804" s="49"/>
      <c r="E804" s="53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8" customHeight="1">
      <c r="A805" s="49"/>
      <c r="B805" s="49"/>
      <c r="C805" s="49"/>
      <c r="D805" s="49"/>
      <c r="E805" s="53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8" customHeight="1">
      <c r="A806" s="49"/>
      <c r="B806" s="49"/>
      <c r="C806" s="49"/>
      <c r="D806" s="49"/>
      <c r="E806" s="53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8" customHeight="1">
      <c r="A807" s="49"/>
      <c r="B807" s="49"/>
      <c r="C807" s="49"/>
      <c r="D807" s="49"/>
      <c r="E807" s="53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8" customHeight="1">
      <c r="A808" s="49"/>
      <c r="B808" s="49"/>
      <c r="C808" s="49"/>
      <c r="D808" s="49"/>
      <c r="E808" s="53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8" customHeight="1">
      <c r="A809" s="49"/>
      <c r="B809" s="49"/>
      <c r="C809" s="49"/>
      <c r="D809" s="49"/>
      <c r="E809" s="53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8" customHeight="1">
      <c r="A810" s="49"/>
      <c r="B810" s="49"/>
      <c r="C810" s="49"/>
      <c r="D810" s="49"/>
      <c r="E810" s="53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8" customHeight="1">
      <c r="A811" s="49"/>
      <c r="B811" s="49"/>
      <c r="C811" s="49"/>
      <c r="D811" s="49"/>
      <c r="E811" s="53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8" customHeight="1">
      <c r="A812" s="49"/>
      <c r="B812" s="49"/>
      <c r="C812" s="49"/>
      <c r="D812" s="49"/>
      <c r="E812" s="53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8" customHeight="1">
      <c r="A813" s="49"/>
      <c r="B813" s="49"/>
      <c r="C813" s="49"/>
      <c r="D813" s="49"/>
      <c r="E813" s="53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8" customHeight="1">
      <c r="A814" s="49"/>
      <c r="B814" s="49"/>
      <c r="C814" s="49"/>
      <c r="D814" s="49"/>
      <c r="E814" s="53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8" customHeight="1">
      <c r="A815" s="49"/>
      <c r="B815" s="49"/>
      <c r="C815" s="49"/>
      <c r="D815" s="49"/>
      <c r="E815" s="53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8" customHeight="1">
      <c r="A816" s="49"/>
      <c r="B816" s="49"/>
      <c r="C816" s="49"/>
      <c r="D816" s="49"/>
      <c r="E816" s="53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8" customHeight="1">
      <c r="A817" s="49"/>
      <c r="B817" s="49"/>
      <c r="C817" s="49"/>
      <c r="D817" s="49"/>
      <c r="E817" s="53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8" customHeight="1">
      <c r="A818" s="49"/>
      <c r="B818" s="49"/>
      <c r="C818" s="49"/>
      <c r="D818" s="49"/>
      <c r="E818" s="53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8" customHeight="1">
      <c r="A819" s="49"/>
      <c r="B819" s="49"/>
      <c r="C819" s="49"/>
      <c r="D819" s="49"/>
      <c r="E819" s="53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8" customHeight="1">
      <c r="A820" s="49"/>
      <c r="B820" s="49"/>
      <c r="C820" s="49"/>
      <c r="D820" s="49"/>
      <c r="E820" s="53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8" customHeight="1">
      <c r="A821" s="49"/>
      <c r="B821" s="49"/>
      <c r="C821" s="49"/>
      <c r="D821" s="49"/>
      <c r="E821" s="53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8" customHeight="1">
      <c r="A822" s="49"/>
      <c r="B822" s="49"/>
      <c r="C822" s="49"/>
      <c r="D822" s="49"/>
      <c r="E822" s="53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8" customHeight="1">
      <c r="A823" s="49"/>
      <c r="B823" s="49"/>
      <c r="C823" s="49"/>
      <c r="D823" s="49"/>
      <c r="E823" s="53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8" customHeight="1">
      <c r="A824" s="49"/>
      <c r="B824" s="49"/>
      <c r="C824" s="49"/>
      <c r="D824" s="49"/>
      <c r="E824" s="53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8" customHeight="1">
      <c r="A825" s="49"/>
      <c r="B825" s="49"/>
      <c r="C825" s="49"/>
      <c r="D825" s="49"/>
      <c r="E825" s="53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8" customHeight="1">
      <c r="A826" s="49"/>
      <c r="B826" s="49"/>
      <c r="C826" s="49"/>
      <c r="D826" s="49"/>
      <c r="E826" s="53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8" customHeight="1">
      <c r="A827" s="49"/>
      <c r="B827" s="49"/>
      <c r="C827" s="49"/>
      <c r="D827" s="49"/>
      <c r="E827" s="53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8" customHeight="1">
      <c r="A828" s="49"/>
      <c r="B828" s="49"/>
      <c r="C828" s="49"/>
      <c r="D828" s="49"/>
      <c r="E828" s="53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8" customHeight="1">
      <c r="A829" s="49"/>
      <c r="B829" s="49"/>
      <c r="C829" s="49"/>
      <c r="D829" s="49"/>
      <c r="E829" s="53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8" customHeight="1">
      <c r="A830" s="49"/>
      <c r="B830" s="49"/>
      <c r="C830" s="49"/>
      <c r="D830" s="49"/>
      <c r="E830" s="53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8" customHeight="1">
      <c r="A831" s="49"/>
      <c r="B831" s="49"/>
      <c r="C831" s="49"/>
      <c r="D831" s="49"/>
      <c r="E831" s="53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8" customHeight="1">
      <c r="A832" s="49"/>
      <c r="B832" s="49"/>
      <c r="C832" s="49"/>
      <c r="D832" s="49"/>
      <c r="E832" s="53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8" customHeight="1">
      <c r="A833" s="49"/>
      <c r="B833" s="49"/>
      <c r="C833" s="49"/>
      <c r="D833" s="49"/>
      <c r="E833" s="53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8" customHeight="1">
      <c r="A834" s="49"/>
      <c r="B834" s="49"/>
      <c r="C834" s="49"/>
      <c r="D834" s="49"/>
      <c r="E834" s="53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8" customHeight="1">
      <c r="A835" s="49"/>
      <c r="B835" s="49"/>
      <c r="C835" s="49"/>
      <c r="D835" s="49"/>
      <c r="E835" s="53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8" customHeight="1">
      <c r="A836" s="49"/>
      <c r="B836" s="49"/>
      <c r="C836" s="49"/>
      <c r="D836" s="49"/>
      <c r="E836" s="53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8" customHeight="1">
      <c r="A837" s="49"/>
      <c r="B837" s="49"/>
      <c r="C837" s="49"/>
      <c r="D837" s="49"/>
      <c r="E837" s="53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8" customHeight="1">
      <c r="A838" s="49"/>
      <c r="B838" s="49"/>
      <c r="C838" s="49"/>
      <c r="D838" s="49"/>
      <c r="E838" s="53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8" customHeight="1">
      <c r="A839" s="49"/>
      <c r="B839" s="49"/>
      <c r="C839" s="49"/>
      <c r="D839" s="49"/>
      <c r="E839" s="53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8" customHeight="1">
      <c r="A840" s="49"/>
      <c r="B840" s="49"/>
      <c r="C840" s="49"/>
      <c r="D840" s="49"/>
      <c r="E840" s="53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8" customHeight="1">
      <c r="A841" s="49"/>
      <c r="B841" s="49"/>
      <c r="C841" s="49"/>
      <c r="D841" s="49"/>
      <c r="E841" s="53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8" customHeight="1">
      <c r="A842" s="49"/>
      <c r="B842" s="49"/>
      <c r="C842" s="49"/>
      <c r="D842" s="49"/>
      <c r="E842" s="53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8" customHeight="1">
      <c r="A843" s="49"/>
      <c r="B843" s="49"/>
      <c r="C843" s="49"/>
      <c r="D843" s="49"/>
      <c r="E843" s="53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8" customHeight="1">
      <c r="A844" s="49"/>
      <c r="B844" s="49"/>
      <c r="C844" s="49"/>
      <c r="D844" s="49"/>
      <c r="E844" s="53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8" customHeight="1">
      <c r="A845" s="49"/>
      <c r="B845" s="49"/>
      <c r="C845" s="49"/>
      <c r="D845" s="49"/>
      <c r="E845" s="53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8" customHeight="1">
      <c r="A846" s="49"/>
      <c r="B846" s="49"/>
      <c r="C846" s="49"/>
      <c r="D846" s="49"/>
      <c r="E846" s="53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8" customHeight="1">
      <c r="A847" s="49"/>
      <c r="B847" s="49"/>
      <c r="C847" s="49"/>
      <c r="D847" s="49"/>
      <c r="E847" s="53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8" customHeight="1">
      <c r="A848" s="49"/>
      <c r="B848" s="49"/>
      <c r="C848" s="49"/>
      <c r="D848" s="49"/>
      <c r="E848" s="53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8" customHeight="1">
      <c r="A849" s="49"/>
      <c r="B849" s="49"/>
      <c r="C849" s="49"/>
      <c r="D849" s="49"/>
      <c r="E849" s="53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8" customHeight="1">
      <c r="A850" s="49"/>
      <c r="B850" s="49"/>
      <c r="C850" s="49"/>
      <c r="D850" s="49"/>
      <c r="E850" s="53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8" customHeight="1">
      <c r="A851" s="49"/>
      <c r="B851" s="49"/>
      <c r="C851" s="49"/>
      <c r="D851" s="49"/>
      <c r="E851" s="53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8" customHeight="1">
      <c r="A852" s="49"/>
      <c r="B852" s="49"/>
      <c r="C852" s="49"/>
      <c r="D852" s="49"/>
      <c r="E852" s="53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8" customHeight="1">
      <c r="A853" s="49"/>
      <c r="B853" s="49"/>
      <c r="C853" s="49"/>
      <c r="D853" s="49"/>
      <c r="E853" s="53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8" customHeight="1">
      <c r="A854" s="49"/>
      <c r="B854" s="49"/>
      <c r="C854" s="49"/>
      <c r="D854" s="49"/>
      <c r="E854" s="53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8" customHeight="1">
      <c r="A855" s="49"/>
      <c r="B855" s="49"/>
      <c r="C855" s="49"/>
      <c r="D855" s="49"/>
      <c r="E855" s="53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8" customHeight="1">
      <c r="A856" s="49"/>
      <c r="B856" s="49"/>
      <c r="C856" s="49"/>
      <c r="D856" s="49"/>
      <c r="E856" s="53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8" customHeight="1">
      <c r="A857" s="49"/>
      <c r="B857" s="49"/>
      <c r="C857" s="49"/>
      <c r="D857" s="49"/>
      <c r="E857" s="53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8" customHeight="1">
      <c r="A858" s="49"/>
      <c r="B858" s="49"/>
      <c r="C858" s="49"/>
      <c r="D858" s="49"/>
      <c r="E858" s="53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8" customHeight="1">
      <c r="A859" s="49"/>
      <c r="B859" s="49"/>
      <c r="C859" s="49"/>
      <c r="D859" s="49"/>
      <c r="E859" s="53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8" customHeight="1">
      <c r="A860" s="49"/>
      <c r="B860" s="49"/>
      <c r="C860" s="49"/>
      <c r="D860" s="49"/>
      <c r="E860" s="53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8" customHeight="1">
      <c r="A861" s="49"/>
      <c r="B861" s="49"/>
      <c r="C861" s="49"/>
      <c r="D861" s="49"/>
      <c r="E861" s="53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8" customHeight="1">
      <c r="A862" s="49"/>
      <c r="B862" s="49"/>
      <c r="C862" s="49"/>
      <c r="D862" s="49"/>
      <c r="E862" s="53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8" customHeight="1">
      <c r="A863" s="49"/>
      <c r="B863" s="49"/>
      <c r="C863" s="49"/>
      <c r="D863" s="49"/>
      <c r="E863" s="53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8" customHeight="1">
      <c r="A864" s="49"/>
      <c r="B864" s="49"/>
      <c r="C864" s="49"/>
      <c r="D864" s="49"/>
      <c r="E864" s="53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8" customHeight="1">
      <c r="A865" s="49"/>
      <c r="B865" s="49"/>
      <c r="C865" s="49"/>
      <c r="D865" s="49"/>
      <c r="E865" s="53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8" customHeight="1">
      <c r="A866" s="49"/>
      <c r="B866" s="49"/>
      <c r="C866" s="49"/>
      <c r="D866" s="49"/>
      <c r="E866" s="53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8" customHeight="1">
      <c r="A867" s="49"/>
      <c r="B867" s="49"/>
      <c r="C867" s="49"/>
      <c r="D867" s="49"/>
      <c r="E867" s="53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8" customHeight="1">
      <c r="A868" s="49"/>
      <c r="B868" s="49"/>
      <c r="C868" s="49"/>
      <c r="D868" s="49"/>
      <c r="E868" s="53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8" customHeight="1">
      <c r="A869" s="49"/>
      <c r="B869" s="49"/>
      <c r="C869" s="49"/>
      <c r="D869" s="49"/>
      <c r="E869" s="53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8" customHeight="1">
      <c r="A870" s="49"/>
      <c r="B870" s="49"/>
      <c r="C870" s="49"/>
      <c r="D870" s="49"/>
      <c r="E870" s="53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8" customHeight="1">
      <c r="A871" s="49"/>
      <c r="B871" s="49"/>
      <c r="C871" s="49"/>
      <c r="D871" s="49"/>
      <c r="E871" s="53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8" customHeight="1">
      <c r="A872" s="49"/>
      <c r="B872" s="49"/>
      <c r="C872" s="49"/>
      <c r="D872" s="49"/>
      <c r="E872" s="53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8" customHeight="1">
      <c r="A873" s="49"/>
      <c r="B873" s="49"/>
      <c r="C873" s="49"/>
      <c r="D873" s="49"/>
      <c r="E873" s="53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8" customHeight="1">
      <c r="A874" s="49"/>
      <c r="B874" s="49"/>
      <c r="C874" s="49"/>
      <c r="D874" s="49"/>
      <c r="E874" s="53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8" customHeight="1">
      <c r="A875" s="49"/>
      <c r="B875" s="49"/>
      <c r="C875" s="49"/>
      <c r="D875" s="49"/>
      <c r="E875" s="53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8" customHeight="1">
      <c r="A876" s="49"/>
      <c r="B876" s="49"/>
      <c r="C876" s="49"/>
      <c r="D876" s="49"/>
      <c r="E876" s="53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8" customHeight="1">
      <c r="A877" s="49"/>
      <c r="B877" s="49"/>
      <c r="C877" s="49"/>
      <c r="D877" s="49"/>
      <c r="E877" s="53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8" customHeight="1">
      <c r="A878" s="49"/>
      <c r="B878" s="49"/>
      <c r="C878" s="49"/>
      <c r="D878" s="49"/>
      <c r="E878" s="53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8" customHeight="1">
      <c r="A879" s="49"/>
      <c r="B879" s="49"/>
      <c r="C879" s="49"/>
      <c r="D879" s="49"/>
      <c r="E879" s="53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8" customHeight="1">
      <c r="A880" s="49"/>
      <c r="B880" s="49"/>
      <c r="C880" s="49"/>
      <c r="D880" s="49"/>
      <c r="E880" s="53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8" customHeight="1">
      <c r="A881" s="49"/>
      <c r="B881" s="49"/>
      <c r="C881" s="49"/>
      <c r="D881" s="49"/>
      <c r="E881" s="53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8" customHeight="1">
      <c r="A882" s="49"/>
      <c r="B882" s="49"/>
      <c r="C882" s="49"/>
      <c r="D882" s="49"/>
      <c r="E882" s="53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8" customHeight="1">
      <c r="A883" s="49"/>
      <c r="B883" s="49"/>
      <c r="C883" s="49"/>
      <c r="D883" s="49"/>
      <c r="E883" s="53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8" customHeight="1">
      <c r="A884" s="49"/>
      <c r="B884" s="49"/>
      <c r="C884" s="49"/>
      <c r="D884" s="49"/>
      <c r="E884" s="53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8" customHeight="1">
      <c r="A885" s="49"/>
      <c r="B885" s="49"/>
      <c r="C885" s="49"/>
      <c r="D885" s="49"/>
      <c r="E885" s="53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8" customHeight="1">
      <c r="A886" s="49"/>
      <c r="B886" s="49"/>
      <c r="C886" s="49"/>
      <c r="D886" s="49"/>
      <c r="E886" s="53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8" customHeight="1">
      <c r="A887" s="49"/>
      <c r="B887" s="49"/>
      <c r="C887" s="49"/>
      <c r="D887" s="49"/>
      <c r="E887" s="53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8" customHeight="1">
      <c r="A888" s="49"/>
      <c r="B888" s="49"/>
      <c r="C888" s="49"/>
      <c r="D888" s="49"/>
      <c r="E888" s="53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8" customHeight="1">
      <c r="A889" s="49"/>
      <c r="B889" s="49"/>
      <c r="C889" s="49"/>
      <c r="D889" s="49"/>
      <c r="E889" s="53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8" customHeight="1">
      <c r="A890" s="49"/>
      <c r="B890" s="49"/>
      <c r="C890" s="49"/>
      <c r="D890" s="49"/>
      <c r="E890" s="53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8" customHeight="1">
      <c r="A891" s="49"/>
      <c r="B891" s="49"/>
      <c r="C891" s="49"/>
      <c r="D891" s="49"/>
      <c r="E891" s="53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8" customHeight="1">
      <c r="A892" s="49"/>
      <c r="B892" s="49"/>
      <c r="C892" s="49"/>
      <c r="D892" s="49"/>
      <c r="E892" s="53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8" customHeight="1">
      <c r="A893" s="49"/>
      <c r="B893" s="49"/>
      <c r="C893" s="49"/>
      <c r="D893" s="49"/>
      <c r="E893" s="53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8" customHeight="1">
      <c r="A894" s="49"/>
      <c r="B894" s="49"/>
      <c r="C894" s="49"/>
      <c r="D894" s="49"/>
      <c r="E894" s="53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8" customHeight="1">
      <c r="A895" s="49"/>
      <c r="B895" s="49"/>
      <c r="C895" s="49"/>
      <c r="D895" s="49"/>
      <c r="E895" s="53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8" customHeight="1">
      <c r="A896" s="49"/>
      <c r="B896" s="49"/>
      <c r="C896" s="49"/>
      <c r="D896" s="49"/>
      <c r="E896" s="53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8" customHeight="1">
      <c r="A897" s="49"/>
      <c r="B897" s="49"/>
      <c r="C897" s="49"/>
      <c r="D897" s="49"/>
      <c r="E897" s="53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8" customHeight="1">
      <c r="A898" s="49"/>
      <c r="B898" s="49"/>
      <c r="C898" s="49"/>
      <c r="D898" s="49"/>
      <c r="E898" s="53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8" customHeight="1">
      <c r="A899" s="49"/>
      <c r="B899" s="49"/>
      <c r="C899" s="49"/>
      <c r="D899" s="49"/>
      <c r="E899" s="53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8" customHeight="1">
      <c r="A900" s="49"/>
      <c r="B900" s="49"/>
      <c r="C900" s="49"/>
      <c r="D900" s="49"/>
      <c r="E900" s="53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8" customHeight="1">
      <c r="A901" s="49"/>
      <c r="B901" s="49"/>
      <c r="C901" s="49"/>
      <c r="D901" s="49"/>
      <c r="E901" s="53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8" customHeight="1">
      <c r="A902" s="49"/>
      <c r="B902" s="49"/>
      <c r="C902" s="49"/>
      <c r="D902" s="49"/>
      <c r="E902" s="53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8" customHeight="1">
      <c r="A903" s="49"/>
      <c r="B903" s="49"/>
      <c r="C903" s="49"/>
      <c r="D903" s="49"/>
      <c r="E903" s="53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8" customHeight="1">
      <c r="A904" s="49"/>
      <c r="B904" s="49"/>
      <c r="C904" s="49"/>
      <c r="D904" s="49"/>
      <c r="E904" s="53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8" customHeight="1">
      <c r="A905" s="49"/>
      <c r="B905" s="49"/>
      <c r="C905" s="49"/>
      <c r="D905" s="49"/>
      <c r="E905" s="53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8" customHeight="1">
      <c r="A906" s="49"/>
      <c r="B906" s="49"/>
      <c r="C906" s="49"/>
      <c r="D906" s="49"/>
      <c r="E906" s="53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8" customHeight="1">
      <c r="A907" s="49"/>
      <c r="B907" s="49"/>
      <c r="C907" s="49"/>
      <c r="D907" s="49"/>
      <c r="E907" s="53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8" customHeight="1">
      <c r="A908" s="49"/>
      <c r="B908" s="49"/>
      <c r="C908" s="49"/>
      <c r="D908" s="49"/>
      <c r="E908" s="53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8" customHeight="1">
      <c r="A909" s="49"/>
      <c r="B909" s="49"/>
      <c r="C909" s="49"/>
      <c r="D909" s="49"/>
      <c r="E909" s="53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8" customHeight="1">
      <c r="A910" s="49"/>
      <c r="B910" s="49"/>
      <c r="C910" s="49"/>
      <c r="D910" s="49"/>
      <c r="E910" s="53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8" customHeight="1">
      <c r="A911" s="49"/>
      <c r="B911" s="49"/>
      <c r="C911" s="49"/>
      <c r="D911" s="49"/>
      <c r="E911" s="53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8" customHeight="1">
      <c r="A912" s="49"/>
      <c r="B912" s="49"/>
      <c r="C912" s="49"/>
      <c r="D912" s="49"/>
      <c r="E912" s="53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8" customHeight="1">
      <c r="A913" s="49"/>
      <c r="B913" s="49"/>
      <c r="C913" s="49"/>
      <c r="D913" s="49"/>
      <c r="E913" s="53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8" customHeight="1">
      <c r="A914" s="49"/>
      <c r="B914" s="49"/>
      <c r="C914" s="49"/>
      <c r="D914" s="49"/>
      <c r="E914" s="53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8" customHeight="1">
      <c r="A915" s="49"/>
      <c r="B915" s="49"/>
      <c r="C915" s="49"/>
      <c r="D915" s="49"/>
      <c r="E915" s="53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8" customHeight="1">
      <c r="A916" s="49"/>
      <c r="B916" s="49"/>
      <c r="C916" s="49"/>
      <c r="D916" s="49"/>
      <c r="E916" s="53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8" customHeight="1">
      <c r="A917" s="49"/>
      <c r="B917" s="49"/>
      <c r="C917" s="49"/>
      <c r="D917" s="49"/>
      <c r="E917" s="53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8" customHeight="1">
      <c r="A918" s="49"/>
      <c r="B918" s="49"/>
      <c r="C918" s="49"/>
      <c r="D918" s="49"/>
      <c r="E918" s="53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8" customHeight="1">
      <c r="A919" s="49"/>
      <c r="B919" s="49"/>
      <c r="C919" s="49"/>
      <c r="D919" s="49"/>
      <c r="E919" s="53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8" customHeight="1">
      <c r="A920" s="49"/>
      <c r="B920" s="49"/>
      <c r="C920" s="49"/>
      <c r="D920" s="49"/>
      <c r="E920" s="53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8" customHeight="1">
      <c r="A921" s="49"/>
      <c r="B921" s="49"/>
      <c r="C921" s="49"/>
      <c r="D921" s="49"/>
      <c r="E921" s="53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8" customHeight="1">
      <c r="A922" s="49"/>
      <c r="B922" s="49"/>
      <c r="C922" s="49"/>
      <c r="D922" s="49"/>
      <c r="E922" s="53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8" customHeight="1">
      <c r="A923" s="49"/>
      <c r="B923" s="49"/>
      <c r="C923" s="49"/>
      <c r="D923" s="49"/>
      <c r="E923" s="53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8" customHeight="1">
      <c r="A924" s="49"/>
      <c r="B924" s="49"/>
      <c r="C924" s="49"/>
      <c r="D924" s="49"/>
      <c r="E924" s="53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8" customHeight="1">
      <c r="A925" s="49"/>
      <c r="B925" s="49"/>
      <c r="C925" s="49"/>
      <c r="D925" s="49"/>
      <c r="E925" s="53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8" customHeight="1">
      <c r="A926" s="49"/>
      <c r="B926" s="49"/>
      <c r="C926" s="49"/>
      <c r="D926" s="49"/>
      <c r="E926" s="53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8" customHeight="1">
      <c r="A927" s="49"/>
      <c r="B927" s="49"/>
      <c r="C927" s="49"/>
      <c r="D927" s="49"/>
      <c r="E927" s="53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8" customHeight="1">
      <c r="A928" s="49"/>
      <c r="B928" s="49"/>
      <c r="C928" s="49"/>
      <c r="D928" s="49"/>
      <c r="E928" s="53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8" customHeight="1">
      <c r="A929" s="49"/>
      <c r="B929" s="49"/>
      <c r="C929" s="49"/>
      <c r="D929" s="49"/>
      <c r="E929" s="53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8" customHeight="1">
      <c r="A930" s="49"/>
      <c r="B930" s="49"/>
      <c r="C930" s="49"/>
      <c r="D930" s="49"/>
      <c r="E930" s="53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8" customHeight="1">
      <c r="A931" s="49"/>
      <c r="B931" s="49"/>
      <c r="C931" s="49"/>
      <c r="D931" s="49"/>
      <c r="E931" s="53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8" customHeight="1">
      <c r="A932" s="49"/>
      <c r="B932" s="49"/>
      <c r="C932" s="49"/>
      <c r="D932" s="49"/>
      <c r="E932" s="53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8" customHeight="1">
      <c r="A933" s="49"/>
      <c r="B933" s="49"/>
      <c r="C933" s="49"/>
      <c r="D933" s="49"/>
      <c r="E933" s="53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8" customHeight="1">
      <c r="A934" s="49"/>
      <c r="B934" s="49"/>
      <c r="C934" s="49"/>
      <c r="D934" s="49"/>
      <c r="E934" s="53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8" customHeight="1">
      <c r="A935" s="49"/>
      <c r="B935" s="49"/>
      <c r="C935" s="49"/>
      <c r="D935" s="49"/>
      <c r="E935" s="53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8" customHeight="1">
      <c r="A936" s="49"/>
      <c r="B936" s="49"/>
      <c r="C936" s="49"/>
      <c r="D936" s="49"/>
      <c r="E936" s="53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8" customHeight="1">
      <c r="A937" s="49"/>
      <c r="B937" s="49"/>
      <c r="C937" s="49"/>
      <c r="D937" s="49"/>
      <c r="E937" s="53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8" customHeight="1">
      <c r="A938" s="49"/>
      <c r="B938" s="49"/>
      <c r="C938" s="49"/>
      <c r="D938" s="49"/>
      <c r="E938" s="53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8" customHeight="1">
      <c r="A939" s="49"/>
      <c r="B939" s="49"/>
      <c r="C939" s="49"/>
      <c r="D939" s="49"/>
      <c r="E939" s="53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8" customHeight="1">
      <c r="A940" s="49"/>
      <c r="B940" s="49"/>
      <c r="C940" s="49"/>
      <c r="D940" s="49"/>
      <c r="E940" s="53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8" customHeight="1">
      <c r="A941" s="49"/>
      <c r="B941" s="49"/>
      <c r="C941" s="49"/>
      <c r="D941" s="49"/>
      <c r="E941" s="53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8" customHeight="1">
      <c r="A942" s="49"/>
      <c r="B942" s="49"/>
      <c r="C942" s="49"/>
      <c r="D942" s="49"/>
      <c r="E942" s="53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8" customHeight="1">
      <c r="A943" s="49"/>
      <c r="B943" s="49"/>
      <c r="C943" s="49"/>
      <c r="D943" s="49"/>
      <c r="E943" s="53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8" customHeight="1">
      <c r="A944" s="49"/>
      <c r="B944" s="49"/>
      <c r="C944" s="49"/>
      <c r="D944" s="49"/>
      <c r="E944" s="53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8" customHeight="1">
      <c r="A945" s="49"/>
      <c r="B945" s="49"/>
      <c r="C945" s="49"/>
      <c r="D945" s="49"/>
      <c r="E945" s="53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8" customHeight="1">
      <c r="A946" s="49"/>
      <c r="B946" s="49"/>
      <c r="C946" s="49"/>
      <c r="D946" s="49"/>
      <c r="E946" s="53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8" customHeight="1">
      <c r="A947" s="49"/>
      <c r="B947" s="49"/>
      <c r="C947" s="49"/>
      <c r="D947" s="49"/>
      <c r="E947" s="53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8" customHeight="1">
      <c r="A948" s="49"/>
      <c r="B948" s="49"/>
      <c r="C948" s="49"/>
      <c r="D948" s="49"/>
      <c r="E948" s="53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8" customHeight="1">
      <c r="A949" s="49"/>
      <c r="B949" s="49"/>
      <c r="C949" s="49"/>
      <c r="D949" s="49"/>
      <c r="E949" s="53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8" customHeight="1">
      <c r="A950" s="49"/>
      <c r="B950" s="49"/>
      <c r="C950" s="49"/>
      <c r="D950" s="49"/>
      <c r="E950" s="53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8" customHeight="1">
      <c r="A951" s="49"/>
      <c r="B951" s="49"/>
      <c r="C951" s="49"/>
      <c r="D951" s="49"/>
      <c r="E951" s="53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8" customHeight="1">
      <c r="A952" s="49"/>
      <c r="B952" s="49"/>
      <c r="C952" s="49"/>
      <c r="D952" s="49"/>
      <c r="E952" s="53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8" customHeight="1">
      <c r="A953" s="49"/>
      <c r="B953" s="49"/>
      <c r="C953" s="49"/>
      <c r="D953" s="49"/>
      <c r="E953" s="53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8" customHeight="1">
      <c r="A954" s="49"/>
      <c r="B954" s="49"/>
      <c r="C954" s="49"/>
      <c r="D954" s="49"/>
      <c r="E954" s="53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8" customHeight="1">
      <c r="A955" s="49"/>
      <c r="B955" s="49"/>
      <c r="C955" s="49"/>
      <c r="D955" s="49"/>
      <c r="E955" s="53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8" customHeight="1">
      <c r="A956" s="49"/>
      <c r="B956" s="49"/>
      <c r="C956" s="49"/>
      <c r="D956" s="49"/>
      <c r="E956" s="53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8" customHeight="1">
      <c r="A957" s="49"/>
      <c r="B957" s="49"/>
      <c r="C957" s="49"/>
      <c r="D957" s="49"/>
      <c r="E957" s="53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8" customHeight="1">
      <c r="A958" s="49"/>
      <c r="B958" s="49"/>
      <c r="C958" s="49"/>
      <c r="D958" s="49"/>
      <c r="E958" s="53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8" customHeight="1">
      <c r="A959" s="49"/>
      <c r="B959" s="49"/>
      <c r="C959" s="49"/>
      <c r="D959" s="49"/>
      <c r="E959" s="53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8" customHeight="1">
      <c r="A960" s="49"/>
      <c r="B960" s="49"/>
      <c r="C960" s="49"/>
      <c r="D960" s="49"/>
      <c r="E960" s="53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8" customHeight="1">
      <c r="A961" s="49"/>
      <c r="B961" s="49"/>
      <c r="C961" s="49"/>
      <c r="D961" s="49"/>
      <c r="E961" s="53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8" customHeight="1">
      <c r="A962" s="49"/>
      <c r="B962" s="49"/>
      <c r="C962" s="49"/>
      <c r="D962" s="49"/>
      <c r="E962" s="53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8" customHeight="1">
      <c r="A963" s="49"/>
      <c r="B963" s="49"/>
      <c r="C963" s="49"/>
      <c r="D963" s="49"/>
      <c r="E963" s="53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8" customHeight="1">
      <c r="A964" s="49"/>
      <c r="B964" s="49"/>
      <c r="C964" s="49"/>
      <c r="D964" s="49"/>
      <c r="E964" s="53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8" customHeight="1">
      <c r="A965" s="49"/>
      <c r="B965" s="49"/>
      <c r="C965" s="49"/>
      <c r="D965" s="49"/>
      <c r="E965" s="53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8" customHeight="1">
      <c r="A966" s="49"/>
      <c r="B966" s="49"/>
      <c r="C966" s="49"/>
      <c r="D966" s="49"/>
      <c r="E966" s="53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8" customHeight="1">
      <c r="A967" s="49"/>
      <c r="B967" s="49"/>
      <c r="C967" s="49"/>
      <c r="D967" s="49"/>
      <c r="E967" s="53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8" customHeight="1">
      <c r="A968" s="49"/>
      <c r="B968" s="49"/>
      <c r="C968" s="49"/>
      <c r="D968" s="49"/>
      <c r="E968" s="53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8" customHeight="1">
      <c r="A969" s="49"/>
      <c r="B969" s="49"/>
      <c r="C969" s="49"/>
      <c r="D969" s="49"/>
      <c r="E969" s="53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8" customHeight="1">
      <c r="A970" s="49"/>
      <c r="B970" s="49"/>
      <c r="C970" s="49"/>
      <c r="D970" s="49"/>
      <c r="E970" s="53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8" customHeight="1">
      <c r="A971" s="49"/>
      <c r="B971" s="49"/>
      <c r="C971" s="49"/>
      <c r="D971" s="49"/>
      <c r="E971" s="53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8" customHeight="1">
      <c r="A972" s="49"/>
      <c r="B972" s="49"/>
      <c r="C972" s="49"/>
      <c r="D972" s="49"/>
      <c r="E972" s="53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8" customHeight="1">
      <c r="A973" s="49"/>
      <c r="B973" s="49"/>
      <c r="C973" s="49"/>
      <c r="D973" s="49"/>
      <c r="E973" s="53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8" customHeight="1">
      <c r="A974" s="49"/>
      <c r="B974" s="49"/>
      <c r="C974" s="49"/>
      <c r="D974" s="49"/>
      <c r="E974" s="53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8" customHeight="1">
      <c r="A975" s="49"/>
      <c r="B975" s="49"/>
      <c r="C975" s="49"/>
      <c r="D975" s="49"/>
      <c r="E975" s="53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8" customHeight="1">
      <c r="A976" s="49"/>
      <c r="B976" s="49"/>
      <c r="C976" s="49"/>
      <c r="D976" s="49"/>
      <c r="E976" s="53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8" customHeight="1">
      <c r="A977" s="49"/>
      <c r="B977" s="49"/>
      <c r="C977" s="49"/>
      <c r="D977" s="49"/>
      <c r="E977" s="53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8" customHeight="1">
      <c r="A978" s="49"/>
      <c r="B978" s="49"/>
      <c r="C978" s="49"/>
      <c r="D978" s="49"/>
      <c r="E978" s="53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8" customHeight="1">
      <c r="A979" s="49"/>
      <c r="B979" s="49"/>
      <c r="C979" s="49"/>
      <c r="D979" s="49"/>
      <c r="E979" s="53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8" customHeight="1">
      <c r="A980" s="49"/>
      <c r="B980" s="49"/>
      <c r="C980" s="49"/>
      <c r="D980" s="49"/>
      <c r="E980" s="53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8" customHeight="1">
      <c r="A981" s="49"/>
      <c r="B981" s="49"/>
      <c r="C981" s="49"/>
      <c r="D981" s="49"/>
      <c r="E981" s="53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8" customHeight="1">
      <c r="A982" s="49"/>
      <c r="B982" s="49"/>
      <c r="C982" s="49"/>
      <c r="D982" s="49"/>
      <c r="E982" s="53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8" customHeight="1">
      <c r="A983" s="49"/>
      <c r="B983" s="49"/>
      <c r="C983" s="49"/>
      <c r="D983" s="49"/>
      <c r="E983" s="53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8" customHeight="1">
      <c r="A984" s="49"/>
      <c r="B984" s="49"/>
      <c r="C984" s="49"/>
      <c r="D984" s="49"/>
      <c r="E984" s="53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8" customHeight="1">
      <c r="A985" s="49"/>
      <c r="B985" s="49"/>
      <c r="C985" s="49"/>
      <c r="D985" s="49"/>
      <c r="E985" s="53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8" customHeight="1">
      <c r="A986" s="49"/>
      <c r="B986" s="49"/>
      <c r="C986" s="49"/>
      <c r="D986" s="49"/>
      <c r="E986" s="53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8" customHeight="1">
      <c r="A987" s="49"/>
      <c r="B987" s="49"/>
      <c r="C987" s="49"/>
      <c r="D987" s="49"/>
      <c r="E987" s="53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8" customHeight="1">
      <c r="A988" s="49"/>
      <c r="B988" s="49"/>
      <c r="C988" s="49"/>
      <c r="D988" s="49"/>
      <c r="E988" s="53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8" customHeight="1">
      <c r="A989" s="49"/>
      <c r="B989" s="49"/>
      <c r="C989" s="49"/>
      <c r="D989" s="49"/>
      <c r="E989" s="53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8" customHeight="1">
      <c r="A990" s="49"/>
      <c r="B990" s="49"/>
      <c r="C990" s="49"/>
      <c r="D990" s="49"/>
      <c r="E990" s="53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8" customHeight="1">
      <c r="A991" s="49"/>
      <c r="B991" s="49"/>
      <c r="C991" s="49"/>
      <c r="D991" s="49"/>
      <c r="E991" s="53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</sheetData>
  <phoneticPr fontId="1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30</vt:i4>
      </vt:variant>
    </vt:vector>
  </HeadingPairs>
  <TitlesOfParts>
    <vt:vector size="36" baseType="lpstr">
      <vt:lpstr>利用目的等</vt:lpstr>
      <vt:lpstr>料金試算表</vt:lpstr>
      <vt:lpstr>記入例(普通版)</vt:lpstr>
      <vt:lpstr>記入例(グループQuota版)</vt:lpstr>
      <vt:lpstr>Sheet1</vt:lpstr>
      <vt:lpstr>表紙・文書履歴</vt:lpstr>
      <vt:lpstr>Acc1_</vt:lpstr>
      <vt:lpstr>Acc1単価</vt:lpstr>
      <vt:lpstr>Acc2_</vt:lpstr>
      <vt:lpstr>Acc2単価</vt:lpstr>
      <vt:lpstr>Acc3_</vt:lpstr>
      <vt:lpstr>Acc3単価</vt:lpstr>
      <vt:lpstr>CPU1_</vt:lpstr>
      <vt:lpstr>CPU1単価</vt:lpstr>
      <vt:lpstr>CPU2_</vt:lpstr>
      <vt:lpstr>CPU2単価</vt:lpstr>
      <vt:lpstr>Mem1_</vt:lpstr>
      <vt:lpstr>Mem1単価</vt:lpstr>
      <vt:lpstr>Mem2_</vt:lpstr>
      <vt:lpstr>Mem2単価</vt:lpstr>
      <vt:lpstr>サービス</vt:lpstr>
      <vt:lpstr>ストレージ一般解析Quota設定のみ</vt:lpstr>
      <vt:lpstr>ストレージ一般解析Quota設定のみ単価</vt:lpstr>
      <vt:lpstr>ストレージ個人ゲノムQuota設定のみ</vt:lpstr>
      <vt:lpstr>ストレージ個人ゲノムQuota設定のみ基本料金</vt:lpstr>
      <vt:lpstr>ストレージ個人ゲノムQuota設定のみ単価</vt:lpstr>
      <vt:lpstr>ストレージ大規模利用_一般解析区画</vt:lpstr>
      <vt:lpstr>ストレージ大規模利用_個人ゲノム区画</vt:lpstr>
      <vt:lpstr>計算ノードGPU専用Slurm_個人ゲノム区画</vt:lpstr>
      <vt:lpstr>計算ノード占有利用_一般解析区画</vt:lpstr>
      <vt:lpstr>計算ノード占有利用_個人ゲノム区画</vt:lpstr>
      <vt:lpstr>計算ノード優先利用_一般解析区画</vt:lpstr>
      <vt:lpstr>計算ノード優先利用_個人ゲノム区画</vt:lpstr>
      <vt:lpstr>消費税</vt:lpstr>
      <vt:lpstr>年</vt:lpstr>
      <vt:lpstr>年間日数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tohirai</dc:creator>
  <cp:keywords/>
  <dc:description/>
  <cp:lastModifiedBy>滝口 八重子</cp:lastModifiedBy>
  <cp:revision/>
  <dcterms:created xsi:type="dcterms:W3CDTF">2017-02-07T08:19:39Z</dcterms:created>
  <dcterms:modified xsi:type="dcterms:W3CDTF">2026-09-14T08:18:18Z</dcterms:modified>
  <cp:category/>
  <cp:contentStatus/>
</cp:coreProperties>
</file>